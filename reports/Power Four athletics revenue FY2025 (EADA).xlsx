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wer Four FY2025"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<sst xmlns="http://schemas.openxmlformats.org/spreadsheetml/2006/main" count="228" uniqueCount="95">
  <si>
    <t xml:space="preserve">Power Four athletics revenue, FY2025 (July 2024 - June 2025) - EADA official data file</t>
  </si>
  <si>
    <t xml:space="preserve">Source: U.S. Dept. of Education, Equity in Athletics Data Analysis, 'All data combined for academic year 2024-25' (EADA_2025.xlsx), columns GRND_TOTAL_REVENUE, TOTAL_REVENUE_ALL_Football, GRND_TOTAL_EXPENSE, TOTAL_EXPENSE_ALL_Football. https://ope.ed.gov/athletics/#/datafile/list</t>
  </si>
  <si>
    <t xml:space="preserve">Conference</t>
  </si>
  <si>
    <t xml:space="preserve">Institution (EADA name)</t>
  </si>
  <si>
    <t xml:space="preserve">Public/Private</t>
  </si>
  <si>
    <t xml:space="preserve">Total athletics revenue (GRND_TOTAL_REVENUE)</t>
  </si>
  <si>
    <t xml:space="preserve">Football revenue (TOTAL_REVENUE_ALL_Football)</t>
  </si>
  <si>
    <t xml:space="preserve">Total athletics expense (GRND_TOTAL_EXPENSE)</t>
  </si>
  <si>
    <t xml:space="preserve">Football expense (TOTAL_EXPENSE_ALL_Football)</t>
  </si>
  <si>
    <t xml:space="preserve">Revenue = expense?</t>
  </si>
  <si>
    <t xml:space="preserve">ACC</t>
  </si>
  <si>
    <t xml:space="preserve">University of Miami</t>
  </si>
  <si>
    <t xml:space="preserve">Private</t>
  </si>
  <si>
    <t xml:space="preserve">Stanford University</t>
  </si>
  <si>
    <t xml:space="preserve">Florida State University</t>
  </si>
  <si>
    <t xml:space="preserve">Public</t>
  </si>
  <si>
    <t xml:space="preserve">Clemson University</t>
  </si>
  <si>
    <t xml:space="preserve">Duke University</t>
  </si>
  <si>
    <t xml:space="preserve">University of North Carolina at Chapel Hill</t>
  </si>
  <si>
    <t xml:space="preserve">University of California-Berkeley</t>
  </si>
  <si>
    <t xml:space="preserve">University of Louisville</t>
  </si>
  <si>
    <t xml:space="preserve">Virginia Polytechnic Institute and State University</t>
  </si>
  <si>
    <t xml:space="preserve">University of Pittsburgh-Pittsburgh Campus</t>
  </si>
  <si>
    <t xml:space="preserve">University of Virginia-Main Campus</t>
  </si>
  <si>
    <t xml:space="preserve">Southern Methodist University</t>
  </si>
  <si>
    <t xml:space="preserve">Boston College</t>
  </si>
  <si>
    <t xml:space="preserve">Georgia Institute of Technology-Main Campus</t>
  </si>
  <si>
    <t xml:space="preserve">North Carolina State University at Raleigh</t>
  </si>
  <si>
    <t xml:space="preserve">Syracuse University</t>
  </si>
  <si>
    <t xml:space="preserve">Wake Forest University</t>
  </si>
  <si>
    <t xml:space="preserve">Big Ten</t>
  </si>
  <si>
    <t xml:space="preserve">Ohio State University-Main Campus</t>
  </si>
  <si>
    <t xml:space="preserve">Pennsylvania State University-Main Campus</t>
  </si>
  <si>
    <t xml:space="preserve">University of Michigan-Ann Arbor</t>
  </si>
  <si>
    <t xml:space="preserve">University of Southern California</t>
  </si>
  <si>
    <t xml:space="preserve">University of Nebraska-Lincoln</t>
  </si>
  <si>
    <t xml:space="preserve">University of Wisconsin-Madison</t>
  </si>
  <si>
    <t xml:space="preserve">Indiana University-Bloomington</t>
  </si>
  <si>
    <t xml:space="preserve">University of Iowa</t>
  </si>
  <si>
    <t xml:space="preserve">University of Washington-Seattle Campus</t>
  </si>
  <si>
    <t xml:space="preserve">University of Illinois Urbana-Champaign</t>
  </si>
  <si>
    <t xml:space="preserve">University of California-Los Angeles</t>
  </si>
  <si>
    <t xml:space="preserve">Rutgers University-New Brunswick</t>
  </si>
  <si>
    <t xml:space="preserve">University of Oregon</t>
  </si>
  <si>
    <t xml:space="preserve">Michigan State University</t>
  </si>
  <si>
    <t xml:space="preserve">University of Minnesota-Twin Cities</t>
  </si>
  <si>
    <t xml:space="preserve">Purdue University-Main Campus</t>
  </si>
  <si>
    <t xml:space="preserve">Northwestern University</t>
  </si>
  <si>
    <t xml:space="preserve">University of Maryland-College Park</t>
  </si>
  <si>
    <t xml:space="preserve">Big 12</t>
  </si>
  <si>
    <t xml:space="preserve">University of Kansas</t>
  </si>
  <si>
    <t xml:space="preserve">University of Colorado Boulder</t>
  </si>
  <si>
    <t xml:space="preserve">Texas Christian University</t>
  </si>
  <si>
    <t xml:space="preserve">Oklahoma State University-Main Campus</t>
  </si>
  <si>
    <t xml:space="preserve">Brigham Young University</t>
  </si>
  <si>
    <t xml:space="preserve">Arizona State University Campus Immersion</t>
  </si>
  <si>
    <t xml:space="preserve">Baylor University</t>
  </si>
  <si>
    <t xml:space="preserve">University of Arizona</t>
  </si>
  <si>
    <t xml:space="preserve">Texas Tech University</t>
  </si>
  <si>
    <t xml:space="preserve">University of Utah</t>
  </si>
  <si>
    <t xml:space="preserve">University of Cincinnati-Main Campus</t>
  </si>
  <si>
    <t xml:space="preserve">West Virginia University</t>
  </si>
  <si>
    <t xml:space="preserve">University of Central Florida</t>
  </si>
  <si>
    <t xml:space="preserve">Iowa State University</t>
  </si>
  <si>
    <t xml:space="preserve">Kansas State University</t>
  </si>
  <si>
    <t xml:space="preserve">University of Houston</t>
  </si>
  <si>
    <t xml:space="preserve">SEC</t>
  </si>
  <si>
    <t xml:space="preserve">The University of Texas at Austin</t>
  </si>
  <si>
    <t xml:space="preserve">The University of Tennessee-Knoxville</t>
  </si>
  <si>
    <t xml:space="preserve">The University of Alabama</t>
  </si>
  <si>
    <t xml:space="preserve">Texas A&amp;M University-College Station</t>
  </si>
  <si>
    <t xml:space="preserve">University of Oklahoma-Norman Campus</t>
  </si>
  <si>
    <t xml:space="preserve">University of Georgia</t>
  </si>
  <si>
    <t xml:space="preserve">Louisiana State University and Agricultural &amp; Mechanical College</t>
  </si>
  <si>
    <t xml:space="preserve">Auburn University</t>
  </si>
  <si>
    <t xml:space="preserve">University of South Carolina-Columbia</t>
  </si>
  <si>
    <t xml:space="preserve">University of Florida</t>
  </si>
  <si>
    <t xml:space="preserve">University of Arkansas</t>
  </si>
  <si>
    <t xml:space="preserve">University of Kentucky</t>
  </si>
  <si>
    <t xml:space="preserve">University of Missouri-Columbia</t>
  </si>
  <si>
    <t xml:space="preserve">University of Mississippi</t>
  </si>
  <si>
    <t xml:space="preserve">Mississippi State University</t>
  </si>
  <si>
    <t xml:space="preserve">Vanderbilt University</t>
  </si>
  <si>
    <t xml:space="preserve">Independent</t>
  </si>
  <si>
    <t xml:space="preserve">University of Notre Dame</t>
  </si>
  <si>
    <t xml:space="preserve">All 68 Power Four</t>
  </si>
  <si>
    <t xml:space="preserve">Excluding Notre Dame (67 football members)</t>
  </si>
  <si>
    <t xml:space="preserve">Public schools only</t>
  </si>
  <si>
    <t xml:space="preserve">Private schools only</t>
  </si>
  <si>
    <t xml:space="preserve">Notes:</t>
  </si>
  <si>
    <t xml:space="preserve">- GRND_TOTAL_REVENUE is the athletic department's total revenue only (not university revenue). EADA collects athletics data exclusively.</t>
  </si>
  <si>
    <t xml:space="preserve">- EADA revenue includes allocated sources (student fees, institutional support, government support). Private schools and some publics report revenue exactly equal to expenses (flagged 'yes' in column H), so EADA totals run higher than NCAA/Knight-Newhouse figures.</t>
  </si>
  <si>
    <t xml:space="preserve">- Football revenue = TOTAL_REVENUE_ALL_Football (revenue attributed to the football team). Revenue not allocated to any team (TOT_REVENUE_ALL_NOTALLOC) is inside the grand total but not in any sport column.</t>
  </si>
  <si>
    <t xml:space="preserve">- All 136 FBS institutions in the file: total athletics revenue $15.09B; football revenue $6.54B (computed from the same file).</t>
  </si>
  <si>
    <t xml:space="preserve">- Conference assignments reflect 2024-25 football membership; Notre Dame is a football independent (ACC in other sports).</t>
  </si>
</sst>
</file>

<file path=xl/styles.xml><?xml version="1.0" encoding="utf-8"?>
<styleSheet xmlns="http://schemas.openxmlformats.org/spreadsheetml/2006/main">
  <numFmts count="2">
    <numFmt numFmtId="164" formatCode="General"/>
    <numFmt numFmtId="165" formatCode="\$#,##0;&quot;($&quot;#,##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1"/>
      <color rgb="FF595959"/>
      <name val="Arial"/>
      <family val="0"/>
      <charset val="1"/>
    </font>
    <font>
      <b val="true"/>
      <sz val="11"/>
      <color rgb="FFFFFFFF"/>
      <name val="Arial"/>
      <family val="0"/>
      <charset val="1"/>
    </font>
    <font>
      <sz val="11"/>
      <name val="Arial"/>
      <family val="0"/>
      <charset val="1"/>
    </font>
    <font>
      <b val="true"/>
      <sz val="11"/>
      <name val="Arial"/>
      <family val="0"/>
      <charset val="1"/>
    </font>
    <font>
      <b val="true"/>
      <sz val="11"/>
      <color rgb="FF00000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52"/>
    <col collapsed="false" customWidth="true" hidden="false" outlineLevel="0" max="3" min="3" style="0" width="13"/>
    <col collapsed="false" customWidth="true" hidden="false" outlineLevel="0" max="7" min="4" style="0" width="22"/>
    <col collapsed="false" customWidth="true" hidden="false" outlineLevel="0" max="8" min="8" style="0" width="12"/>
  </cols>
  <sheetData>
    <row r="1" customFormat="false" ht="16.15" hidden="false" customHeight="false" outlineLevel="0" collapsed="false">
      <c r="A1" s="1" t="s">
        <v>0</v>
      </c>
    </row>
    <row r="2" customFormat="false" ht="15" hidden="false" customHeight="false" outlineLevel="0" collapsed="false">
      <c r="A2" s="2" t="s">
        <v>1</v>
      </c>
    </row>
    <row r="4" customFormat="false" ht="45" hidden="false" customHeight="true" outlineLevel="0" collapsed="false">
      <c r="A4" s="3" t="s">
        <v>2</v>
      </c>
      <c r="B4" s="3" t="s">
        <v>3</v>
      </c>
      <c r="C4" s="3" t="s">
        <v>4</v>
      </c>
      <c r="D4" s="3" t="s">
        <v>5</v>
      </c>
      <c r="E4" s="3" t="s">
        <v>6</v>
      </c>
      <c r="F4" s="3" t="s">
        <v>7</v>
      </c>
      <c r="G4" s="3" t="s">
        <v>8</v>
      </c>
      <c r="H4" s="3" t="s">
        <v>9</v>
      </c>
    </row>
    <row r="5" customFormat="false" ht="15" hidden="false" customHeight="false" outlineLevel="0" collapsed="false">
      <c r="A5" s="4" t="s">
        <v>10</v>
      </c>
      <c r="B5" s="4" t="s">
        <v>11</v>
      </c>
      <c r="C5" s="4" t="s">
        <v>12</v>
      </c>
      <c r="D5" s="5" t="n">
        <v>230484608</v>
      </c>
      <c r="E5" s="5" t="n">
        <v>99864288</v>
      </c>
      <c r="F5" s="5" t="n">
        <v>230484608</v>
      </c>
      <c r="G5" s="5" t="n">
        <v>88117956</v>
      </c>
      <c r="H5" s="4" t="str">
        <f aca="false">IF(D5=F5,"yes","")</f>
        <v>yes</v>
      </c>
    </row>
    <row r="6" customFormat="false" ht="15" hidden="false" customHeight="false" outlineLevel="0" collapsed="false">
      <c r="A6" s="4" t="s">
        <v>10</v>
      </c>
      <c r="B6" s="4" t="s">
        <v>13</v>
      </c>
      <c r="C6" s="4" t="s">
        <v>12</v>
      </c>
      <c r="D6" s="5" t="n">
        <v>192802320</v>
      </c>
      <c r="E6" s="5" t="n">
        <v>35992019</v>
      </c>
      <c r="F6" s="5" t="n">
        <v>192802320</v>
      </c>
      <c r="G6" s="5" t="n">
        <v>35992019</v>
      </c>
      <c r="H6" s="4" t="str">
        <f aca="false">IF(D6=F6,"yes","")</f>
        <v>yes</v>
      </c>
    </row>
    <row r="7" customFormat="false" ht="15" hidden="false" customHeight="false" outlineLevel="0" collapsed="false">
      <c r="A7" s="4" t="s">
        <v>10</v>
      </c>
      <c r="B7" s="4" t="s">
        <v>14</v>
      </c>
      <c r="C7" s="4" t="s">
        <v>15</v>
      </c>
      <c r="D7" s="5" t="n">
        <v>192717172</v>
      </c>
      <c r="E7" s="5" t="n">
        <v>83469718</v>
      </c>
      <c r="F7" s="5" t="n">
        <v>192717172</v>
      </c>
      <c r="G7" s="5" t="n">
        <v>83267924</v>
      </c>
      <c r="H7" s="4" t="str">
        <f aca="false">IF(D7=F7,"yes","")</f>
        <v>yes</v>
      </c>
    </row>
    <row r="8" customFormat="false" ht="15" hidden="false" customHeight="false" outlineLevel="0" collapsed="false">
      <c r="A8" s="4" t="s">
        <v>10</v>
      </c>
      <c r="B8" s="4" t="s">
        <v>16</v>
      </c>
      <c r="C8" s="4" t="s">
        <v>15</v>
      </c>
      <c r="D8" s="5" t="n">
        <v>186106774</v>
      </c>
      <c r="E8" s="5" t="n">
        <v>86902571</v>
      </c>
      <c r="F8" s="5" t="n">
        <v>186106774</v>
      </c>
      <c r="G8" s="5" t="n">
        <v>81136726</v>
      </c>
      <c r="H8" s="4" t="str">
        <f aca="false">IF(D8=F8,"yes","")</f>
        <v>yes</v>
      </c>
    </row>
    <row r="9" customFormat="false" ht="15" hidden="false" customHeight="false" outlineLevel="0" collapsed="false">
      <c r="A9" s="4" t="s">
        <v>10</v>
      </c>
      <c r="B9" s="4" t="s">
        <v>17</v>
      </c>
      <c r="C9" s="4" t="s">
        <v>12</v>
      </c>
      <c r="D9" s="5" t="n">
        <v>181607802</v>
      </c>
      <c r="E9" s="5" t="n">
        <v>67356450</v>
      </c>
      <c r="F9" s="5" t="n">
        <v>180590186</v>
      </c>
      <c r="G9" s="5" t="n">
        <v>47363558</v>
      </c>
      <c r="H9" s="4" t="str">
        <f aca="false">IF(D9=F9,"yes","")</f>
        <v/>
      </c>
    </row>
    <row r="10" customFormat="false" ht="15" hidden="false" customHeight="false" outlineLevel="0" collapsed="false">
      <c r="A10" s="4" t="s">
        <v>10</v>
      </c>
      <c r="B10" s="4" t="s">
        <v>18</v>
      </c>
      <c r="C10" s="4" t="s">
        <v>15</v>
      </c>
      <c r="D10" s="5" t="n">
        <v>180835031</v>
      </c>
      <c r="E10" s="5" t="n">
        <v>63337093</v>
      </c>
      <c r="F10" s="5" t="n">
        <v>180835031</v>
      </c>
      <c r="G10" s="5" t="n">
        <v>49145749</v>
      </c>
      <c r="H10" s="4" t="str">
        <f aca="false">IF(D10=F10,"yes","")</f>
        <v>yes</v>
      </c>
    </row>
    <row r="11" customFormat="false" ht="15" hidden="false" customHeight="false" outlineLevel="0" collapsed="false">
      <c r="A11" s="4" t="s">
        <v>10</v>
      </c>
      <c r="B11" s="4" t="s">
        <v>19</v>
      </c>
      <c r="C11" s="4" t="s">
        <v>15</v>
      </c>
      <c r="D11" s="5" t="n">
        <v>173116318</v>
      </c>
      <c r="E11" s="5" t="n">
        <v>63954618</v>
      </c>
      <c r="F11" s="5" t="n">
        <v>173116318</v>
      </c>
      <c r="G11" s="5" t="n">
        <v>46721911</v>
      </c>
      <c r="H11" s="4" t="str">
        <f aca="false">IF(D11=F11,"yes","")</f>
        <v>yes</v>
      </c>
    </row>
    <row r="12" customFormat="false" ht="15" hidden="false" customHeight="false" outlineLevel="0" collapsed="false">
      <c r="A12" s="4" t="s">
        <v>10</v>
      </c>
      <c r="B12" s="4" t="s">
        <v>20</v>
      </c>
      <c r="C12" s="4" t="s">
        <v>15</v>
      </c>
      <c r="D12" s="5" t="n">
        <v>155903308</v>
      </c>
      <c r="E12" s="5" t="n">
        <v>33090886</v>
      </c>
      <c r="F12" s="5" t="n">
        <v>154819604</v>
      </c>
      <c r="G12" s="5" t="n">
        <v>30745125</v>
      </c>
      <c r="H12" s="4" t="str">
        <f aca="false">IF(D12=F12,"yes","")</f>
        <v/>
      </c>
    </row>
    <row r="13" customFormat="false" ht="15" hidden="false" customHeight="false" outlineLevel="0" collapsed="false">
      <c r="A13" s="4" t="s">
        <v>10</v>
      </c>
      <c r="B13" s="4" t="s">
        <v>21</v>
      </c>
      <c r="C13" s="4" t="s">
        <v>15</v>
      </c>
      <c r="D13" s="5" t="n">
        <v>151623889</v>
      </c>
      <c r="E13" s="5" t="n">
        <v>79735756</v>
      </c>
      <c r="F13" s="5" t="n">
        <v>148984818</v>
      </c>
      <c r="G13" s="5" t="n">
        <v>37803976</v>
      </c>
      <c r="H13" s="4" t="str">
        <f aca="false">IF(D13=F13,"yes","")</f>
        <v/>
      </c>
    </row>
    <row r="14" customFormat="false" ht="15" hidden="false" customHeight="false" outlineLevel="0" collapsed="false">
      <c r="A14" s="4" t="s">
        <v>10</v>
      </c>
      <c r="B14" s="4" t="s">
        <v>22</v>
      </c>
      <c r="C14" s="4" t="s">
        <v>15</v>
      </c>
      <c r="D14" s="5" t="n">
        <v>151337808</v>
      </c>
      <c r="E14" s="5" t="n">
        <v>57222645</v>
      </c>
      <c r="F14" s="5" t="n">
        <v>151337808</v>
      </c>
      <c r="G14" s="5" t="n">
        <v>47141722</v>
      </c>
      <c r="H14" s="4" t="str">
        <f aca="false">IF(D14=F14,"yes","")</f>
        <v>yes</v>
      </c>
    </row>
    <row r="15" customFormat="false" ht="15" hidden="false" customHeight="false" outlineLevel="0" collapsed="false">
      <c r="A15" s="4" t="s">
        <v>10</v>
      </c>
      <c r="B15" s="4" t="s">
        <v>23</v>
      </c>
      <c r="C15" s="4" t="s">
        <v>15</v>
      </c>
      <c r="D15" s="5" t="n">
        <v>150622194</v>
      </c>
      <c r="E15" s="5" t="n">
        <v>51441991</v>
      </c>
      <c r="F15" s="5" t="n">
        <v>150622194</v>
      </c>
      <c r="G15" s="5" t="n">
        <v>33611796</v>
      </c>
      <c r="H15" s="4" t="str">
        <f aca="false">IF(D15=F15,"yes","")</f>
        <v>yes</v>
      </c>
    </row>
    <row r="16" customFormat="false" ht="15" hidden="false" customHeight="false" outlineLevel="0" collapsed="false">
      <c r="A16" s="4" t="s">
        <v>10</v>
      </c>
      <c r="B16" s="4" t="s">
        <v>24</v>
      </c>
      <c r="C16" s="4" t="s">
        <v>12</v>
      </c>
      <c r="D16" s="5" t="n">
        <v>150225313</v>
      </c>
      <c r="E16" s="5" t="n">
        <v>45315587</v>
      </c>
      <c r="F16" s="5" t="n">
        <v>150225313</v>
      </c>
      <c r="G16" s="5" t="n">
        <v>45315587</v>
      </c>
      <c r="H16" s="4" t="str">
        <f aca="false">IF(D16=F16,"yes","")</f>
        <v>yes</v>
      </c>
    </row>
    <row r="17" customFormat="false" ht="15" hidden="false" customHeight="false" outlineLevel="0" collapsed="false">
      <c r="A17" s="4" t="s">
        <v>10</v>
      </c>
      <c r="B17" s="4" t="s">
        <v>25</v>
      </c>
      <c r="C17" s="4" t="s">
        <v>12</v>
      </c>
      <c r="D17" s="5" t="n">
        <v>142122049</v>
      </c>
      <c r="E17" s="5" t="n">
        <v>47531226</v>
      </c>
      <c r="F17" s="5" t="n">
        <v>142122049</v>
      </c>
      <c r="G17" s="5" t="n">
        <v>41224780</v>
      </c>
      <c r="H17" s="4" t="str">
        <f aca="false">IF(D17=F17,"yes","")</f>
        <v>yes</v>
      </c>
    </row>
    <row r="18" customFormat="false" ht="15" hidden="false" customHeight="false" outlineLevel="0" collapsed="false">
      <c r="A18" s="4" t="s">
        <v>10</v>
      </c>
      <c r="B18" s="4" t="s">
        <v>26</v>
      </c>
      <c r="C18" s="4" t="s">
        <v>15</v>
      </c>
      <c r="D18" s="5" t="n">
        <v>140430227</v>
      </c>
      <c r="E18" s="5" t="n">
        <v>70541041</v>
      </c>
      <c r="F18" s="5" t="n">
        <v>140430227</v>
      </c>
      <c r="G18" s="5" t="n">
        <v>42709508</v>
      </c>
      <c r="H18" s="4" t="str">
        <f aca="false">IF(D18=F18,"yes","")</f>
        <v>yes</v>
      </c>
    </row>
    <row r="19" customFormat="false" ht="15" hidden="false" customHeight="false" outlineLevel="0" collapsed="false">
      <c r="A19" s="4" t="s">
        <v>10</v>
      </c>
      <c r="B19" s="4" t="s">
        <v>27</v>
      </c>
      <c r="C19" s="4" t="s">
        <v>15</v>
      </c>
      <c r="D19" s="5" t="n">
        <v>135830733</v>
      </c>
      <c r="E19" s="5" t="n">
        <v>69756644</v>
      </c>
      <c r="F19" s="5" t="n">
        <v>129009673</v>
      </c>
      <c r="G19" s="5" t="n">
        <v>40535367</v>
      </c>
      <c r="H19" s="4" t="str">
        <f aca="false">IF(D19=F19,"yes","")</f>
        <v/>
      </c>
    </row>
    <row r="20" customFormat="false" ht="15" hidden="false" customHeight="false" outlineLevel="0" collapsed="false">
      <c r="A20" s="4" t="s">
        <v>10</v>
      </c>
      <c r="B20" s="4" t="s">
        <v>28</v>
      </c>
      <c r="C20" s="4" t="s">
        <v>12</v>
      </c>
      <c r="D20" s="5" t="n">
        <v>120839134</v>
      </c>
      <c r="E20" s="5" t="n">
        <v>64585287</v>
      </c>
      <c r="F20" s="5" t="n">
        <v>108994576</v>
      </c>
      <c r="G20" s="5" t="n">
        <v>42090055</v>
      </c>
      <c r="H20" s="4" t="str">
        <f aca="false">IF(D20=F20,"yes","")</f>
        <v/>
      </c>
    </row>
    <row r="21" customFormat="false" ht="15" hidden="false" customHeight="false" outlineLevel="0" collapsed="false">
      <c r="A21" s="4" t="s">
        <v>10</v>
      </c>
      <c r="B21" s="4" t="s">
        <v>29</v>
      </c>
      <c r="C21" s="4" t="s">
        <v>12</v>
      </c>
      <c r="D21" s="5" t="n">
        <v>114628069</v>
      </c>
      <c r="E21" s="5" t="n">
        <v>39399925</v>
      </c>
      <c r="F21" s="5" t="n">
        <v>114628069</v>
      </c>
      <c r="G21" s="5" t="n">
        <v>39399925</v>
      </c>
      <c r="H21" s="4" t="str">
        <f aca="false">IF(D21=F21,"yes","")</f>
        <v>yes</v>
      </c>
    </row>
    <row r="22" customFormat="false" ht="15" hidden="false" customHeight="false" outlineLevel="0" collapsed="false">
      <c r="A22" s="4" t="s">
        <v>30</v>
      </c>
      <c r="B22" s="4" t="s">
        <v>31</v>
      </c>
      <c r="C22" s="4" t="s">
        <v>15</v>
      </c>
      <c r="D22" s="5" t="n">
        <v>295265883</v>
      </c>
      <c r="E22" s="5" t="n">
        <v>160549826</v>
      </c>
      <c r="F22" s="5" t="n">
        <v>295265883</v>
      </c>
      <c r="G22" s="5" t="n">
        <v>92359309</v>
      </c>
      <c r="H22" s="4" t="str">
        <f aca="false">IF(D22=F22,"yes","")</f>
        <v>yes</v>
      </c>
    </row>
    <row r="23" customFormat="false" ht="15" hidden="false" customHeight="false" outlineLevel="0" collapsed="false">
      <c r="A23" s="4" t="s">
        <v>30</v>
      </c>
      <c r="B23" s="4" t="s">
        <v>32</v>
      </c>
      <c r="C23" s="4" t="s">
        <v>15</v>
      </c>
      <c r="D23" s="5" t="n">
        <v>254397122</v>
      </c>
      <c r="E23" s="5" t="n">
        <v>150314572</v>
      </c>
      <c r="F23" s="5" t="n">
        <v>231709762</v>
      </c>
      <c r="G23" s="5" t="n">
        <v>77386097</v>
      </c>
      <c r="H23" s="4" t="str">
        <f aca="false">IF(D23=F23,"yes","")</f>
        <v/>
      </c>
    </row>
    <row r="24" customFormat="false" ht="15" hidden="false" customHeight="false" outlineLevel="0" collapsed="false">
      <c r="A24" s="4" t="s">
        <v>30</v>
      </c>
      <c r="B24" s="4" t="s">
        <v>33</v>
      </c>
      <c r="C24" s="4" t="s">
        <v>15</v>
      </c>
      <c r="D24" s="5" t="n">
        <v>236376759</v>
      </c>
      <c r="E24" s="5" t="n">
        <v>175299592</v>
      </c>
      <c r="F24" s="5" t="n">
        <v>222088909</v>
      </c>
      <c r="G24" s="5" t="n">
        <v>61663186</v>
      </c>
      <c r="H24" s="4" t="str">
        <f aca="false">IF(D24=F24,"yes","")</f>
        <v/>
      </c>
    </row>
    <row r="25" customFormat="false" ht="15" hidden="false" customHeight="false" outlineLevel="0" collapsed="false">
      <c r="A25" s="4" t="s">
        <v>30</v>
      </c>
      <c r="B25" s="4" t="s">
        <v>34</v>
      </c>
      <c r="C25" s="4" t="s">
        <v>12</v>
      </c>
      <c r="D25" s="5" t="n">
        <v>234029848</v>
      </c>
      <c r="E25" s="5" t="n">
        <v>74014972</v>
      </c>
      <c r="F25" s="5" t="n">
        <v>234029848</v>
      </c>
      <c r="G25" s="5" t="n">
        <v>74014972</v>
      </c>
      <c r="H25" s="4" t="str">
        <f aca="false">IF(D25=F25,"yes","")</f>
        <v>yes</v>
      </c>
    </row>
    <row r="26" customFormat="false" ht="15" hidden="false" customHeight="false" outlineLevel="0" collapsed="false">
      <c r="A26" s="4" t="s">
        <v>30</v>
      </c>
      <c r="B26" s="4" t="s">
        <v>35</v>
      </c>
      <c r="C26" s="4" t="s">
        <v>15</v>
      </c>
      <c r="D26" s="5" t="n">
        <v>205807522</v>
      </c>
      <c r="E26" s="5" t="n">
        <v>122283973</v>
      </c>
      <c r="F26" s="5" t="n">
        <v>198462402</v>
      </c>
      <c r="G26" s="5" t="n">
        <v>70574668</v>
      </c>
      <c r="H26" s="4" t="str">
        <f aca="false">IF(D26=F26,"yes","")</f>
        <v/>
      </c>
    </row>
    <row r="27" customFormat="false" ht="15" hidden="false" customHeight="false" outlineLevel="0" collapsed="false">
      <c r="A27" s="4" t="s">
        <v>30</v>
      </c>
      <c r="B27" s="4" t="s">
        <v>36</v>
      </c>
      <c r="C27" s="4" t="s">
        <v>15</v>
      </c>
      <c r="D27" s="5" t="n">
        <v>190503289</v>
      </c>
      <c r="E27" s="5" t="n">
        <v>112319593</v>
      </c>
      <c r="F27" s="5" t="n">
        <v>180525755</v>
      </c>
      <c r="G27" s="5" t="n">
        <v>40903448</v>
      </c>
      <c r="H27" s="4" t="str">
        <f aca="false">IF(D27=F27,"yes","")</f>
        <v/>
      </c>
    </row>
    <row r="28" customFormat="false" ht="15" hidden="false" customHeight="false" outlineLevel="0" collapsed="false">
      <c r="A28" s="4" t="s">
        <v>30</v>
      </c>
      <c r="B28" s="4" t="s">
        <v>37</v>
      </c>
      <c r="C28" s="4" t="s">
        <v>15</v>
      </c>
      <c r="D28" s="5" t="n">
        <v>182095778</v>
      </c>
      <c r="E28" s="5" t="n">
        <v>80906601</v>
      </c>
      <c r="F28" s="5" t="n">
        <v>159331697</v>
      </c>
      <c r="G28" s="5" t="n">
        <v>50207544</v>
      </c>
      <c r="H28" s="4" t="str">
        <f aca="false">IF(D28=F28,"yes","")</f>
        <v/>
      </c>
    </row>
    <row r="29" customFormat="false" ht="15" hidden="false" customHeight="false" outlineLevel="0" collapsed="false">
      <c r="A29" s="4" t="s">
        <v>30</v>
      </c>
      <c r="B29" s="4" t="s">
        <v>38</v>
      </c>
      <c r="C29" s="4" t="s">
        <v>15</v>
      </c>
      <c r="D29" s="5" t="n">
        <v>179990052</v>
      </c>
      <c r="E29" s="5" t="n">
        <v>105190203</v>
      </c>
      <c r="F29" s="5" t="n">
        <v>150892055</v>
      </c>
      <c r="G29" s="5" t="n">
        <v>50894414</v>
      </c>
      <c r="H29" s="4" t="str">
        <f aca="false">IF(D29=F29,"yes","")</f>
        <v/>
      </c>
    </row>
    <row r="30" customFormat="false" ht="15" hidden="false" customHeight="false" outlineLevel="0" collapsed="false">
      <c r="A30" s="4" t="s">
        <v>30</v>
      </c>
      <c r="B30" s="4" t="s">
        <v>39</v>
      </c>
      <c r="C30" s="4" t="s">
        <v>15</v>
      </c>
      <c r="D30" s="5" t="n">
        <v>178415083</v>
      </c>
      <c r="E30" s="5" t="n">
        <v>121018946</v>
      </c>
      <c r="F30" s="5" t="n">
        <v>174834634</v>
      </c>
      <c r="G30" s="5" t="n">
        <v>68921774</v>
      </c>
      <c r="H30" s="4" t="str">
        <f aca="false">IF(D30=F30,"yes","")</f>
        <v/>
      </c>
    </row>
    <row r="31" customFormat="false" ht="15" hidden="false" customHeight="false" outlineLevel="0" collapsed="false">
      <c r="A31" s="4" t="s">
        <v>30</v>
      </c>
      <c r="B31" s="4" t="s">
        <v>40</v>
      </c>
      <c r="C31" s="4" t="s">
        <v>15</v>
      </c>
      <c r="D31" s="5" t="n">
        <v>174612181</v>
      </c>
      <c r="E31" s="5" t="n">
        <v>87939659</v>
      </c>
      <c r="F31" s="5" t="n">
        <v>174612181</v>
      </c>
      <c r="G31" s="5" t="n">
        <v>48001399</v>
      </c>
      <c r="H31" s="4" t="str">
        <f aca="false">IF(D31=F31,"yes","")</f>
        <v>yes</v>
      </c>
    </row>
    <row r="32" customFormat="false" ht="15" hidden="false" customHeight="false" outlineLevel="0" collapsed="false">
      <c r="A32" s="4" t="s">
        <v>30</v>
      </c>
      <c r="B32" s="4" t="s">
        <v>41</v>
      </c>
      <c r="C32" s="4" t="s">
        <v>15</v>
      </c>
      <c r="D32" s="5" t="n">
        <v>173429394</v>
      </c>
      <c r="E32" s="5" t="n">
        <v>55205071</v>
      </c>
      <c r="F32" s="5" t="n">
        <v>173429394</v>
      </c>
      <c r="G32" s="5" t="n">
        <v>55205071</v>
      </c>
      <c r="H32" s="4" t="str">
        <f aca="false">IF(D32=F32,"yes","")</f>
        <v>yes</v>
      </c>
    </row>
    <row r="33" customFormat="false" ht="15" hidden="false" customHeight="false" outlineLevel="0" collapsed="false">
      <c r="A33" s="4" t="s">
        <v>30</v>
      </c>
      <c r="B33" s="4" t="s">
        <v>42</v>
      </c>
      <c r="C33" s="4" t="s">
        <v>15</v>
      </c>
      <c r="D33" s="5" t="n">
        <v>171679918</v>
      </c>
      <c r="E33" s="5" t="n">
        <v>75922954</v>
      </c>
      <c r="F33" s="5" t="n">
        <v>171679918</v>
      </c>
      <c r="G33" s="5" t="n">
        <v>75922954</v>
      </c>
      <c r="H33" s="4" t="str">
        <f aca="false">IF(D33=F33,"yes","")</f>
        <v>yes</v>
      </c>
    </row>
    <row r="34" customFormat="false" ht="15" hidden="false" customHeight="false" outlineLevel="0" collapsed="false">
      <c r="A34" s="4" t="s">
        <v>30</v>
      </c>
      <c r="B34" s="4" t="s">
        <v>43</v>
      </c>
      <c r="C34" s="4" t="s">
        <v>15</v>
      </c>
      <c r="D34" s="5" t="n">
        <v>167129024</v>
      </c>
      <c r="E34" s="5" t="n">
        <v>119584907</v>
      </c>
      <c r="F34" s="5" t="n">
        <v>164742082</v>
      </c>
      <c r="G34" s="5" t="n">
        <v>60847472</v>
      </c>
      <c r="H34" s="4" t="str">
        <f aca="false">IF(D34=F34,"yes","")</f>
        <v/>
      </c>
    </row>
    <row r="35" customFormat="false" ht="15" hidden="false" customHeight="false" outlineLevel="0" collapsed="false">
      <c r="A35" s="4" t="s">
        <v>30</v>
      </c>
      <c r="B35" s="4" t="s">
        <v>44</v>
      </c>
      <c r="C35" s="4" t="s">
        <v>15</v>
      </c>
      <c r="D35" s="5" t="n">
        <v>160697176</v>
      </c>
      <c r="E35" s="5" t="n">
        <v>77084648</v>
      </c>
      <c r="F35" s="5" t="n">
        <v>160697176</v>
      </c>
      <c r="G35" s="5" t="n">
        <v>48227813</v>
      </c>
      <c r="H35" s="4" t="str">
        <f aca="false">IF(D35=F35,"yes","")</f>
        <v>yes</v>
      </c>
    </row>
    <row r="36" customFormat="false" ht="15" hidden="false" customHeight="false" outlineLevel="0" collapsed="false">
      <c r="A36" s="4" t="s">
        <v>30</v>
      </c>
      <c r="B36" s="4" t="s">
        <v>45</v>
      </c>
      <c r="C36" s="4" t="s">
        <v>15</v>
      </c>
      <c r="D36" s="5" t="n">
        <v>156773938</v>
      </c>
      <c r="E36" s="5" t="n">
        <v>101726085</v>
      </c>
      <c r="F36" s="5" t="n">
        <v>146804169</v>
      </c>
      <c r="G36" s="5" t="n">
        <v>45452693</v>
      </c>
      <c r="H36" s="4" t="str">
        <f aca="false">IF(D36=F36,"yes","")</f>
        <v/>
      </c>
    </row>
    <row r="37" customFormat="false" ht="15" hidden="false" customHeight="false" outlineLevel="0" collapsed="false">
      <c r="A37" s="4" t="s">
        <v>30</v>
      </c>
      <c r="B37" s="4" t="s">
        <v>46</v>
      </c>
      <c r="C37" s="4" t="s">
        <v>15</v>
      </c>
      <c r="D37" s="5" t="n">
        <v>150536320</v>
      </c>
      <c r="E37" s="5" t="n">
        <v>83144029</v>
      </c>
      <c r="F37" s="5" t="n">
        <v>135140397</v>
      </c>
      <c r="G37" s="5" t="n">
        <v>37193229</v>
      </c>
      <c r="H37" s="4" t="str">
        <f aca="false">IF(D37=F37,"yes","")</f>
        <v/>
      </c>
    </row>
    <row r="38" customFormat="false" ht="15" hidden="false" customHeight="false" outlineLevel="0" collapsed="false">
      <c r="A38" s="4" t="s">
        <v>30</v>
      </c>
      <c r="B38" s="4" t="s">
        <v>47</v>
      </c>
      <c r="C38" s="4" t="s">
        <v>12</v>
      </c>
      <c r="D38" s="5" t="n">
        <v>131779238</v>
      </c>
      <c r="E38" s="5" t="n">
        <v>85587606</v>
      </c>
      <c r="F38" s="5" t="n">
        <v>131779238</v>
      </c>
      <c r="G38" s="5" t="n">
        <v>37901761</v>
      </c>
      <c r="H38" s="4" t="str">
        <f aca="false">IF(D38=F38,"yes","")</f>
        <v>yes</v>
      </c>
    </row>
    <row r="39" customFormat="false" ht="15" hidden="false" customHeight="false" outlineLevel="0" collapsed="false">
      <c r="A39" s="4" t="s">
        <v>30</v>
      </c>
      <c r="B39" s="4" t="s">
        <v>48</v>
      </c>
      <c r="C39" s="4" t="s">
        <v>15</v>
      </c>
      <c r="D39" s="5" t="n">
        <v>128662116</v>
      </c>
      <c r="E39" s="5" t="n">
        <v>63070858</v>
      </c>
      <c r="F39" s="5" t="n">
        <v>128662116</v>
      </c>
      <c r="G39" s="5" t="n">
        <v>35502618</v>
      </c>
      <c r="H39" s="4" t="str">
        <f aca="false">IF(D39=F39,"yes","")</f>
        <v>yes</v>
      </c>
    </row>
    <row r="40" customFormat="false" ht="15" hidden="false" customHeight="false" outlineLevel="0" collapsed="false">
      <c r="A40" s="4" t="s">
        <v>49</v>
      </c>
      <c r="B40" s="4" t="s">
        <v>50</v>
      </c>
      <c r="C40" s="4" t="s">
        <v>15</v>
      </c>
      <c r="D40" s="5" t="n">
        <v>173669277</v>
      </c>
      <c r="E40" s="5" t="n">
        <v>37107691</v>
      </c>
      <c r="F40" s="5" t="n">
        <v>159866627</v>
      </c>
      <c r="G40" s="5" t="n">
        <v>34516494</v>
      </c>
      <c r="H40" s="4" t="str">
        <f aca="false">IF(D40=F40,"yes","")</f>
        <v/>
      </c>
    </row>
    <row r="41" customFormat="false" ht="15" hidden="false" customHeight="false" outlineLevel="0" collapsed="false">
      <c r="A41" s="4" t="s">
        <v>49</v>
      </c>
      <c r="B41" s="4" t="s">
        <v>51</v>
      </c>
      <c r="C41" s="4" t="s">
        <v>15</v>
      </c>
      <c r="D41" s="5" t="n">
        <v>161671803</v>
      </c>
      <c r="E41" s="5" t="n">
        <v>69306235</v>
      </c>
      <c r="F41" s="5" t="n">
        <v>161512069</v>
      </c>
      <c r="G41" s="5" t="n">
        <v>42805019</v>
      </c>
      <c r="H41" s="4" t="str">
        <f aca="false">IF(D41=F41,"yes","")</f>
        <v/>
      </c>
    </row>
    <row r="42" customFormat="false" ht="15" hidden="false" customHeight="false" outlineLevel="0" collapsed="false">
      <c r="A42" s="4" t="s">
        <v>49</v>
      </c>
      <c r="B42" s="4" t="s">
        <v>52</v>
      </c>
      <c r="C42" s="4" t="s">
        <v>12</v>
      </c>
      <c r="D42" s="5" t="n">
        <v>155989500</v>
      </c>
      <c r="E42" s="5" t="n">
        <v>59568339</v>
      </c>
      <c r="F42" s="5" t="n">
        <v>155989500</v>
      </c>
      <c r="G42" s="5" t="n">
        <v>59568339</v>
      </c>
      <c r="H42" s="4" t="str">
        <f aca="false">IF(D42=F42,"yes","")</f>
        <v>yes</v>
      </c>
    </row>
    <row r="43" customFormat="false" ht="15" hidden="false" customHeight="false" outlineLevel="0" collapsed="false">
      <c r="A43" s="4" t="s">
        <v>49</v>
      </c>
      <c r="B43" s="4" t="s">
        <v>53</v>
      </c>
      <c r="C43" s="4" t="s">
        <v>15</v>
      </c>
      <c r="D43" s="5" t="n">
        <v>153679234</v>
      </c>
      <c r="E43" s="5" t="n">
        <v>56992244</v>
      </c>
      <c r="F43" s="5" t="n">
        <v>153679234</v>
      </c>
      <c r="G43" s="5" t="n">
        <v>32830617</v>
      </c>
      <c r="H43" s="4" t="str">
        <f aca="false">IF(D43=F43,"yes","")</f>
        <v>yes</v>
      </c>
    </row>
    <row r="44" customFormat="false" ht="15" hidden="false" customHeight="false" outlineLevel="0" collapsed="false">
      <c r="A44" s="4" t="s">
        <v>49</v>
      </c>
      <c r="B44" s="4" t="s">
        <v>54</v>
      </c>
      <c r="C44" s="4" t="s">
        <v>12</v>
      </c>
      <c r="D44" s="5" t="n">
        <v>153351328</v>
      </c>
      <c r="E44" s="5" t="n">
        <v>51715899</v>
      </c>
      <c r="F44" s="5" t="n">
        <v>136864784</v>
      </c>
      <c r="G44" s="5" t="n">
        <v>44561032</v>
      </c>
      <c r="H44" s="4" t="str">
        <f aca="false">IF(D44=F44,"yes","")</f>
        <v/>
      </c>
    </row>
    <row r="45" customFormat="false" ht="15" hidden="false" customHeight="false" outlineLevel="0" collapsed="false">
      <c r="A45" s="4" t="s">
        <v>49</v>
      </c>
      <c r="B45" s="4" t="s">
        <v>55</v>
      </c>
      <c r="C45" s="4" t="s">
        <v>15</v>
      </c>
      <c r="D45" s="5" t="n">
        <v>149346605</v>
      </c>
      <c r="E45" s="5" t="n">
        <v>50352139</v>
      </c>
      <c r="F45" s="5" t="n">
        <v>149346605</v>
      </c>
      <c r="G45" s="5" t="n">
        <v>50352139</v>
      </c>
      <c r="H45" s="4" t="str">
        <f aca="false">IF(D45=F45,"yes","")</f>
        <v>yes</v>
      </c>
    </row>
    <row r="46" customFormat="false" ht="15" hidden="false" customHeight="false" outlineLevel="0" collapsed="false">
      <c r="A46" s="4" t="s">
        <v>49</v>
      </c>
      <c r="B46" s="4" t="s">
        <v>56</v>
      </c>
      <c r="C46" s="4" t="s">
        <v>12</v>
      </c>
      <c r="D46" s="5" t="n">
        <v>144126427</v>
      </c>
      <c r="E46" s="5" t="n">
        <v>44260293</v>
      </c>
      <c r="F46" s="5" t="n">
        <v>144126427</v>
      </c>
      <c r="G46" s="5" t="n">
        <v>41050130</v>
      </c>
      <c r="H46" s="4" t="str">
        <f aca="false">IF(D46=F46,"yes","")</f>
        <v>yes</v>
      </c>
    </row>
    <row r="47" customFormat="false" ht="15" hidden="false" customHeight="false" outlineLevel="0" collapsed="false">
      <c r="A47" s="4" t="s">
        <v>49</v>
      </c>
      <c r="B47" s="4" t="s">
        <v>57</v>
      </c>
      <c r="C47" s="4" t="s">
        <v>15</v>
      </c>
      <c r="D47" s="5" t="n">
        <v>132661899</v>
      </c>
      <c r="E47" s="5" t="n">
        <v>37795880</v>
      </c>
      <c r="F47" s="5" t="n">
        <v>132661899</v>
      </c>
      <c r="G47" s="5" t="n">
        <v>37795880</v>
      </c>
      <c r="H47" s="4" t="str">
        <f aca="false">IF(D47=F47,"yes","")</f>
        <v>yes</v>
      </c>
    </row>
    <row r="48" customFormat="false" ht="15" hidden="false" customHeight="false" outlineLevel="0" collapsed="false">
      <c r="A48" s="4" t="s">
        <v>49</v>
      </c>
      <c r="B48" s="4" t="s">
        <v>58</v>
      </c>
      <c r="C48" s="4" t="s">
        <v>15</v>
      </c>
      <c r="D48" s="5" t="n">
        <v>128777718</v>
      </c>
      <c r="E48" s="5" t="n">
        <v>69872378</v>
      </c>
      <c r="F48" s="5" t="n">
        <v>127895343</v>
      </c>
      <c r="G48" s="5" t="n">
        <v>39745662</v>
      </c>
      <c r="H48" s="4" t="str">
        <f aca="false">IF(D48=F48,"yes","")</f>
        <v/>
      </c>
    </row>
    <row r="49" customFormat="false" ht="15" hidden="false" customHeight="false" outlineLevel="0" collapsed="false">
      <c r="A49" s="4" t="s">
        <v>49</v>
      </c>
      <c r="B49" s="4" t="s">
        <v>59</v>
      </c>
      <c r="C49" s="4" t="s">
        <v>15</v>
      </c>
      <c r="D49" s="5" t="n">
        <v>125167576</v>
      </c>
      <c r="E49" s="5" t="n">
        <v>95930953</v>
      </c>
      <c r="F49" s="5" t="n">
        <v>118667209</v>
      </c>
      <c r="G49" s="5" t="n">
        <v>41410554</v>
      </c>
      <c r="H49" s="4" t="str">
        <f aca="false">IF(D49=F49,"yes","")</f>
        <v/>
      </c>
    </row>
    <row r="50" customFormat="false" ht="15" hidden="false" customHeight="false" outlineLevel="0" collapsed="false">
      <c r="A50" s="4" t="s">
        <v>49</v>
      </c>
      <c r="B50" s="4" t="s">
        <v>60</v>
      </c>
      <c r="C50" s="4" t="s">
        <v>15</v>
      </c>
      <c r="D50" s="5" t="n">
        <v>119327103</v>
      </c>
      <c r="E50" s="5" t="n">
        <v>30429185</v>
      </c>
      <c r="F50" s="5" t="n">
        <v>119327103</v>
      </c>
      <c r="G50" s="5" t="n">
        <v>30429185</v>
      </c>
      <c r="H50" s="4" t="str">
        <f aca="false">IF(D50=F50,"yes","")</f>
        <v>yes</v>
      </c>
    </row>
    <row r="51" customFormat="false" ht="15" hidden="false" customHeight="false" outlineLevel="0" collapsed="false">
      <c r="A51" s="4" t="s">
        <v>49</v>
      </c>
      <c r="B51" s="4" t="s">
        <v>61</v>
      </c>
      <c r="C51" s="4" t="s">
        <v>15</v>
      </c>
      <c r="D51" s="5" t="n">
        <v>117413366</v>
      </c>
      <c r="E51" s="5" t="n">
        <v>47642113</v>
      </c>
      <c r="F51" s="5" t="n">
        <v>117413366</v>
      </c>
      <c r="G51" s="5" t="n">
        <v>35250569</v>
      </c>
      <c r="H51" s="4" t="str">
        <f aca="false">IF(D51=F51,"yes","")</f>
        <v>yes</v>
      </c>
    </row>
    <row r="52" customFormat="false" ht="15" hidden="false" customHeight="false" outlineLevel="0" collapsed="false">
      <c r="A52" s="4" t="s">
        <v>49</v>
      </c>
      <c r="B52" s="4" t="s">
        <v>62</v>
      </c>
      <c r="C52" s="4" t="s">
        <v>15</v>
      </c>
      <c r="D52" s="5" t="n">
        <v>108885086</v>
      </c>
      <c r="E52" s="5" t="n">
        <v>30085713</v>
      </c>
      <c r="F52" s="5" t="n">
        <v>103615446</v>
      </c>
      <c r="G52" s="5" t="n">
        <v>38695138</v>
      </c>
      <c r="H52" s="4" t="str">
        <f aca="false">IF(D52=F52,"yes","")</f>
        <v/>
      </c>
    </row>
    <row r="53" customFormat="false" ht="15" hidden="false" customHeight="false" outlineLevel="0" collapsed="false">
      <c r="A53" s="4" t="s">
        <v>49</v>
      </c>
      <c r="B53" s="4" t="s">
        <v>63</v>
      </c>
      <c r="C53" s="4" t="s">
        <v>15</v>
      </c>
      <c r="D53" s="5" t="n">
        <v>103899204</v>
      </c>
      <c r="E53" s="5" t="n">
        <v>60744404</v>
      </c>
      <c r="F53" s="5" t="n">
        <v>103893160</v>
      </c>
      <c r="G53" s="5" t="n">
        <v>32337385</v>
      </c>
      <c r="H53" s="4" t="str">
        <f aca="false">IF(D53=F53,"yes","")</f>
        <v/>
      </c>
    </row>
    <row r="54" customFormat="false" ht="15" hidden="false" customHeight="false" outlineLevel="0" collapsed="false">
      <c r="A54" s="4" t="s">
        <v>49</v>
      </c>
      <c r="B54" s="4" t="s">
        <v>64</v>
      </c>
      <c r="C54" s="4" t="s">
        <v>15</v>
      </c>
      <c r="D54" s="5" t="n">
        <v>102982919</v>
      </c>
      <c r="E54" s="5" t="n">
        <v>27087822</v>
      </c>
      <c r="F54" s="5" t="n">
        <v>100807499</v>
      </c>
      <c r="G54" s="5" t="n">
        <v>27087822</v>
      </c>
      <c r="H54" s="4" t="str">
        <f aca="false">IF(D54=F54,"yes","")</f>
        <v/>
      </c>
    </row>
    <row r="55" customFormat="false" ht="15" hidden="false" customHeight="false" outlineLevel="0" collapsed="false">
      <c r="A55" s="4" t="s">
        <v>49</v>
      </c>
      <c r="B55" s="4" t="s">
        <v>65</v>
      </c>
      <c r="C55" s="4" t="s">
        <v>15</v>
      </c>
      <c r="D55" s="5" t="n">
        <v>100162965</v>
      </c>
      <c r="E55" s="5" t="n">
        <v>23271364</v>
      </c>
      <c r="F55" s="5" t="n">
        <v>100162965</v>
      </c>
      <c r="G55" s="5" t="n">
        <v>23271364</v>
      </c>
      <c r="H55" s="4" t="str">
        <f aca="false">IF(D55=F55,"yes","")</f>
        <v>yes</v>
      </c>
    </row>
    <row r="56" customFormat="false" ht="15" hidden="false" customHeight="false" outlineLevel="0" collapsed="false">
      <c r="A56" s="4" t="s">
        <v>66</v>
      </c>
      <c r="B56" s="4" t="s">
        <v>67</v>
      </c>
      <c r="C56" s="4" t="s">
        <v>15</v>
      </c>
      <c r="D56" s="5" t="n">
        <v>343106827</v>
      </c>
      <c r="E56" s="5" t="n">
        <v>171892714</v>
      </c>
      <c r="F56" s="5" t="n">
        <v>277413781</v>
      </c>
      <c r="G56" s="5" t="n">
        <v>70405628</v>
      </c>
      <c r="H56" s="4" t="str">
        <f aca="false">IF(D56=F56,"yes","")</f>
        <v/>
      </c>
    </row>
    <row r="57" customFormat="false" ht="15" hidden="false" customHeight="false" outlineLevel="0" collapsed="false">
      <c r="A57" s="4" t="s">
        <v>66</v>
      </c>
      <c r="B57" s="4" t="s">
        <v>68</v>
      </c>
      <c r="C57" s="4" t="s">
        <v>15</v>
      </c>
      <c r="D57" s="5" t="n">
        <v>285364027</v>
      </c>
      <c r="E57" s="5" t="n">
        <v>162539638</v>
      </c>
      <c r="F57" s="5" t="n">
        <v>285364027</v>
      </c>
      <c r="G57" s="5" t="n">
        <v>61240437</v>
      </c>
      <c r="H57" s="4" t="str">
        <f aca="false">IF(D57=F57,"yes","")</f>
        <v>yes</v>
      </c>
    </row>
    <row r="58" customFormat="false" ht="15" hidden="false" customHeight="false" outlineLevel="0" collapsed="false">
      <c r="A58" s="4" t="s">
        <v>66</v>
      </c>
      <c r="B58" s="4" t="s">
        <v>69</v>
      </c>
      <c r="C58" s="4" t="s">
        <v>15</v>
      </c>
      <c r="D58" s="5" t="n">
        <v>244551544</v>
      </c>
      <c r="E58" s="5" t="n">
        <v>146325227</v>
      </c>
      <c r="F58" s="5" t="n">
        <v>229908712</v>
      </c>
      <c r="G58" s="5" t="n">
        <v>81502191</v>
      </c>
      <c r="H58" s="4" t="str">
        <f aca="false">IF(D58=F58,"yes","")</f>
        <v/>
      </c>
    </row>
    <row r="59" customFormat="false" ht="15" hidden="false" customHeight="false" outlineLevel="0" collapsed="false">
      <c r="A59" s="4" t="s">
        <v>66</v>
      </c>
      <c r="B59" s="4" t="s">
        <v>70</v>
      </c>
      <c r="C59" s="4" t="s">
        <v>15</v>
      </c>
      <c r="D59" s="5" t="n">
        <v>235498020</v>
      </c>
      <c r="E59" s="5" t="n">
        <v>108474281</v>
      </c>
      <c r="F59" s="5" t="n">
        <v>228301283</v>
      </c>
      <c r="G59" s="5" t="n">
        <v>60230146</v>
      </c>
      <c r="H59" s="4" t="str">
        <f aca="false">IF(D59=F59,"yes","")</f>
        <v/>
      </c>
    </row>
    <row r="60" customFormat="false" ht="15" hidden="false" customHeight="false" outlineLevel="0" collapsed="false">
      <c r="A60" s="4" t="s">
        <v>66</v>
      </c>
      <c r="B60" s="4" t="s">
        <v>71</v>
      </c>
      <c r="C60" s="4" t="s">
        <v>15</v>
      </c>
      <c r="D60" s="5" t="n">
        <v>234426470</v>
      </c>
      <c r="E60" s="5" t="n">
        <v>126247146</v>
      </c>
      <c r="F60" s="5" t="n">
        <v>234426470</v>
      </c>
      <c r="G60" s="5" t="n">
        <v>71184826</v>
      </c>
      <c r="H60" s="4" t="str">
        <f aca="false">IF(D60=F60,"yes","")</f>
        <v>yes</v>
      </c>
    </row>
    <row r="61" customFormat="false" ht="15" hidden="false" customHeight="false" outlineLevel="0" collapsed="false">
      <c r="A61" s="4" t="s">
        <v>66</v>
      </c>
      <c r="B61" s="4" t="s">
        <v>72</v>
      </c>
      <c r="C61" s="4" t="s">
        <v>15</v>
      </c>
      <c r="D61" s="5" t="n">
        <v>233526965</v>
      </c>
      <c r="E61" s="5" t="n">
        <v>149285887</v>
      </c>
      <c r="F61" s="5" t="n">
        <v>226736834</v>
      </c>
      <c r="G61" s="5" t="n">
        <v>71107704</v>
      </c>
      <c r="H61" s="4" t="str">
        <f aca="false">IF(D61=F61,"yes","")</f>
        <v/>
      </c>
    </row>
    <row r="62" customFormat="false" ht="15" hidden="false" customHeight="false" outlineLevel="0" collapsed="false">
      <c r="A62" s="4" t="s">
        <v>66</v>
      </c>
      <c r="B62" s="4" t="s">
        <v>73</v>
      </c>
      <c r="C62" s="4" t="s">
        <v>15</v>
      </c>
      <c r="D62" s="5" t="n">
        <v>223457268</v>
      </c>
      <c r="E62" s="5" t="n">
        <v>117563889</v>
      </c>
      <c r="F62" s="5" t="n">
        <v>219649408</v>
      </c>
      <c r="G62" s="5" t="n">
        <v>50738587</v>
      </c>
      <c r="H62" s="4" t="str">
        <f aca="false">IF(D62=F62,"yes","")</f>
        <v/>
      </c>
    </row>
    <row r="63" customFormat="false" ht="15" hidden="false" customHeight="false" outlineLevel="0" collapsed="false">
      <c r="A63" s="4" t="s">
        <v>66</v>
      </c>
      <c r="B63" s="4" t="s">
        <v>74</v>
      </c>
      <c r="C63" s="4" t="s">
        <v>15</v>
      </c>
      <c r="D63" s="5" t="n">
        <v>205275913</v>
      </c>
      <c r="E63" s="5" t="n">
        <v>121408732</v>
      </c>
      <c r="F63" s="5" t="n">
        <v>195930163</v>
      </c>
      <c r="G63" s="5" t="n">
        <v>58724402</v>
      </c>
      <c r="H63" s="4" t="str">
        <f aca="false">IF(D63=F63,"yes","")</f>
        <v/>
      </c>
    </row>
    <row r="64" customFormat="false" ht="15" hidden="false" customHeight="false" outlineLevel="0" collapsed="false">
      <c r="A64" s="4" t="s">
        <v>66</v>
      </c>
      <c r="B64" s="4" t="s">
        <v>75</v>
      </c>
      <c r="C64" s="4" t="s">
        <v>15</v>
      </c>
      <c r="D64" s="5" t="n">
        <v>204566524</v>
      </c>
      <c r="E64" s="5" t="n">
        <v>76513171</v>
      </c>
      <c r="F64" s="5" t="n">
        <v>203259302</v>
      </c>
      <c r="G64" s="5" t="n">
        <v>55859501</v>
      </c>
      <c r="H64" s="4" t="str">
        <f aca="false">IF(D64=F64,"yes","")</f>
        <v/>
      </c>
    </row>
    <row r="65" customFormat="false" ht="15" hidden="false" customHeight="false" outlineLevel="0" collapsed="false">
      <c r="A65" s="4" t="s">
        <v>66</v>
      </c>
      <c r="B65" s="4" t="s">
        <v>76</v>
      </c>
      <c r="C65" s="4" t="s">
        <v>15</v>
      </c>
      <c r="D65" s="5" t="n">
        <v>199237539</v>
      </c>
      <c r="E65" s="5" t="n">
        <v>113351580</v>
      </c>
      <c r="F65" s="5" t="n">
        <v>199237539</v>
      </c>
      <c r="G65" s="5" t="n">
        <v>51766013</v>
      </c>
      <c r="H65" s="4" t="str">
        <f aca="false">IF(D65=F65,"yes","")</f>
        <v>yes</v>
      </c>
    </row>
    <row r="66" customFormat="false" ht="15" hidden="false" customHeight="false" outlineLevel="0" collapsed="false">
      <c r="A66" s="4" t="s">
        <v>66</v>
      </c>
      <c r="B66" s="4" t="s">
        <v>77</v>
      </c>
      <c r="C66" s="4" t="s">
        <v>15</v>
      </c>
      <c r="D66" s="5" t="n">
        <v>195879594</v>
      </c>
      <c r="E66" s="5" t="n">
        <v>90791403</v>
      </c>
      <c r="F66" s="5" t="n">
        <v>188988863</v>
      </c>
      <c r="G66" s="5" t="n">
        <v>57370871</v>
      </c>
      <c r="H66" s="4" t="str">
        <f aca="false">IF(D66=F66,"yes","")</f>
        <v/>
      </c>
    </row>
    <row r="67" customFormat="false" ht="15" hidden="false" customHeight="false" outlineLevel="0" collapsed="false">
      <c r="A67" s="4" t="s">
        <v>66</v>
      </c>
      <c r="B67" s="4" t="s">
        <v>78</v>
      </c>
      <c r="C67" s="4" t="s">
        <v>15</v>
      </c>
      <c r="D67" s="5" t="n">
        <v>186609679</v>
      </c>
      <c r="E67" s="5" t="n">
        <v>43281917</v>
      </c>
      <c r="F67" s="5" t="n">
        <v>186609679</v>
      </c>
      <c r="G67" s="5" t="n">
        <v>43281917</v>
      </c>
      <c r="H67" s="4" t="str">
        <f aca="false">IF(D67=F67,"yes","")</f>
        <v>yes</v>
      </c>
    </row>
    <row r="68" customFormat="false" ht="15" hidden="false" customHeight="false" outlineLevel="0" collapsed="false">
      <c r="A68" s="4" t="s">
        <v>66</v>
      </c>
      <c r="B68" s="4" t="s">
        <v>79</v>
      </c>
      <c r="C68" s="4" t="s">
        <v>15</v>
      </c>
      <c r="D68" s="5" t="n">
        <v>181114849</v>
      </c>
      <c r="E68" s="5" t="n">
        <v>53301146</v>
      </c>
      <c r="F68" s="5" t="n">
        <v>181114849</v>
      </c>
      <c r="G68" s="5" t="n">
        <v>49316139</v>
      </c>
      <c r="H68" s="4" t="str">
        <f aca="false">IF(D68=F68,"yes","")</f>
        <v>yes</v>
      </c>
    </row>
    <row r="69" customFormat="false" ht="15" hidden="false" customHeight="false" outlineLevel="0" collapsed="false">
      <c r="A69" s="4" t="s">
        <v>66</v>
      </c>
      <c r="B69" s="4" t="s">
        <v>80</v>
      </c>
      <c r="C69" s="4" t="s">
        <v>15</v>
      </c>
      <c r="D69" s="5" t="n">
        <v>171119339</v>
      </c>
      <c r="E69" s="5" t="n">
        <v>90702621</v>
      </c>
      <c r="F69" s="5" t="n">
        <v>171119339</v>
      </c>
      <c r="G69" s="5" t="n">
        <v>61846036</v>
      </c>
      <c r="H69" s="4" t="str">
        <f aca="false">IF(D69=F69,"yes","")</f>
        <v>yes</v>
      </c>
    </row>
    <row r="70" customFormat="false" ht="15" hidden="false" customHeight="false" outlineLevel="0" collapsed="false">
      <c r="A70" s="4" t="s">
        <v>66</v>
      </c>
      <c r="B70" s="4" t="s">
        <v>81</v>
      </c>
      <c r="C70" s="4" t="s">
        <v>15</v>
      </c>
      <c r="D70" s="5" t="n">
        <v>157301826</v>
      </c>
      <c r="E70" s="5" t="n">
        <v>37575575</v>
      </c>
      <c r="F70" s="5" t="n">
        <v>157301826</v>
      </c>
      <c r="G70" s="5" t="n">
        <v>37575575</v>
      </c>
      <c r="H70" s="4" t="str">
        <f aca="false">IF(D70=F70,"yes","")</f>
        <v>yes</v>
      </c>
    </row>
    <row r="71" customFormat="false" ht="15" hidden="false" customHeight="false" outlineLevel="0" collapsed="false">
      <c r="A71" s="4" t="s">
        <v>66</v>
      </c>
      <c r="B71" s="4" t="s">
        <v>82</v>
      </c>
      <c r="C71" s="4" t="s">
        <v>12</v>
      </c>
      <c r="D71" s="5" t="n">
        <v>146388389</v>
      </c>
      <c r="E71" s="5" t="n">
        <v>44124525</v>
      </c>
      <c r="F71" s="5" t="n">
        <v>146388389</v>
      </c>
      <c r="G71" s="5" t="n">
        <v>44124525</v>
      </c>
      <c r="H71" s="4" t="str">
        <f aca="false">IF(D71=F71,"yes","")</f>
        <v>yes</v>
      </c>
    </row>
    <row r="72" customFormat="false" ht="15" hidden="false" customHeight="false" outlineLevel="0" collapsed="false">
      <c r="A72" s="4" t="s">
        <v>83</v>
      </c>
      <c r="B72" s="4" t="s">
        <v>84</v>
      </c>
      <c r="C72" s="4" t="s">
        <v>12</v>
      </c>
      <c r="D72" s="5" t="n">
        <v>289616198</v>
      </c>
      <c r="E72" s="5" t="n">
        <v>195723436</v>
      </c>
      <c r="F72" s="5" t="n">
        <v>244698449</v>
      </c>
      <c r="G72" s="5" t="n">
        <v>93255797</v>
      </c>
      <c r="H72" s="4" t="str">
        <f aca="false">IF(D72=F72,"yes","")</f>
        <v/>
      </c>
    </row>
    <row r="74" customFormat="false" ht="15" hidden="false" customHeight="false" outlineLevel="0" collapsed="false">
      <c r="A74" s="6" t="s">
        <v>85</v>
      </c>
      <c r="C74" s="6" t="n">
        <f aca="false">COUNTA(B5:B72)</f>
        <v>68</v>
      </c>
      <c r="D74" s="7" t="n">
        <f aca="false">SUM(D5:D72)</f>
        <v>11991566371</v>
      </c>
      <c r="E74" s="7" t="n">
        <f aca="false">SUM(E5:E72)</f>
        <v>5551927380</v>
      </c>
      <c r="F74" s="7" t="n">
        <f aca="false">SUM(F5:F72)</f>
        <v>11624792505</v>
      </c>
      <c r="G74" s="7" t="n">
        <f aca="false">SUM(G5:G72)</f>
        <v>3494741730</v>
      </c>
    </row>
    <row r="75" customFormat="false" ht="15" hidden="false" customHeight="false" outlineLevel="0" collapsed="false">
      <c r="A75" s="6" t="s">
        <v>86</v>
      </c>
      <c r="C75" s="6" t="n">
        <f aca="false">COUNTA(B5:B72)-COUNTIF($A$5:$A$72,"Independent")</f>
        <v>67</v>
      </c>
      <c r="D75" s="7" t="n">
        <f aca="false">SUM(D5:D72)-SUMIF($A$5:$A$72,"Independent",D5:D72)</f>
        <v>11701950173</v>
      </c>
      <c r="E75" s="7" t="n">
        <f aca="false">SUM(E5:E72)-SUMIF($A$5:$A$72,"Independent",E5:E72)</f>
        <v>5356203944</v>
      </c>
      <c r="F75" s="7" t="n">
        <f aca="false">SUM(F5:F72)-SUMIF($A$5:$A$72,"Independent",F5:F72)</f>
        <v>11380094056</v>
      </c>
      <c r="G75" s="7" t="n">
        <f aca="false">SUM(G5:G72)-SUMIF($A$5:$A$72,"Independent",G5:G72)</f>
        <v>3401485933</v>
      </c>
    </row>
    <row r="76" customFormat="false" ht="15" hidden="false" customHeight="false" outlineLevel="0" collapsed="false">
      <c r="A76" s="6" t="s">
        <v>87</v>
      </c>
      <c r="C76" s="6" t="n">
        <f aca="false">COUNTIF($C$5:$C$72,"Public")</f>
        <v>54</v>
      </c>
      <c r="D76" s="7" t="n">
        <f aca="false">SUMIF($C$5:$C$72,"Public",D5:D72)</f>
        <v>9603576148</v>
      </c>
      <c r="E76" s="7" t="n">
        <f aca="false">SUMIF($C$5:$C$72,"Public",E5:E72)</f>
        <v>4596887528</v>
      </c>
      <c r="F76" s="7" t="n">
        <f aca="false">SUMIF($C$5:$C$72,"Public",F5:F72)</f>
        <v>9311068749</v>
      </c>
      <c r="G76" s="7" t="n">
        <f aca="false">SUMIF($C$5:$C$72,"Public",G5:G72)</f>
        <v>2760761294</v>
      </c>
    </row>
    <row r="77" customFormat="false" ht="15" hidden="false" customHeight="false" outlineLevel="0" collapsed="false">
      <c r="A77" s="6" t="s">
        <v>88</v>
      </c>
      <c r="C77" s="6" t="n">
        <f aca="false">COUNTIF($C$5:$C$72,"Private")</f>
        <v>14</v>
      </c>
      <c r="D77" s="7" t="n">
        <f aca="false">SUMIF($C$5:$C$72,"Private",D5:D72)</f>
        <v>2387990223</v>
      </c>
      <c r="E77" s="7" t="n">
        <f aca="false">SUMIF($C$5:$C$72,"Private",E5:E72)</f>
        <v>955039852</v>
      </c>
      <c r="F77" s="7" t="n">
        <f aca="false">SUMIF($C$5:$C$72,"Private",F5:F72)</f>
        <v>2313723756</v>
      </c>
      <c r="G77" s="7" t="n">
        <f aca="false">SUMIF($C$5:$C$72,"Private",G5:G72)</f>
        <v>733980436</v>
      </c>
    </row>
    <row r="78" customFormat="false" ht="15" hidden="false" customHeight="false" outlineLevel="0" collapsed="false">
      <c r="A78" s="6" t="s">
        <v>10</v>
      </c>
      <c r="C78" s="6" t="n">
        <f aca="false">COUNTIF($A$5:$A$72,"ACC")</f>
        <v>17</v>
      </c>
      <c r="D78" s="7" t="n">
        <f aca="false">SUMIF($A$5:$A$72,"ACC",D5:D72)</f>
        <v>2751232749</v>
      </c>
      <c r="E78" s="7" t="n">
        <f aca="false">SUMIF($A$5:$A$72,"ACC",E5:E72)</f>
        <v>1059497745</v>
      </c>
      <c r="F78" s="7" t="n">
        <f aca="false">SUMIF($A$5:$A$72,"ACC",F5:F72)</f>
        <v>2727826740</v>
      </c>
      <c r="G78" s="7" t="n">
        <f aca="false">SUMIF($A$5:$A$72,"ACC",G5:G72)</f>
        <v>832323684</v>
      </c>
    </row>
    <row r="79" customFormat="false" ht="15" hidden="false" customHeight="false" outlineLevel="0" collapsed="false">
      <c r="A79" s="6" t="s">
        <v>30</v>
      </c>
      <c r="C79" s="6" t="n">
        <f aca="false">COUNTIF($A$5:$A$72,"Big Ten")</f>
        <v>18</v>
      </c>
      <c r="D79" s="7" t="n">
        <f aca="false">SUMIF($A$5:$A$72,"Big Ten",D5:D72)</f>
        <v>3372180641</v>
      </c>
      <c r="E79" s="7" t="n">
        <f aca="false">SUMIF($A$5:$A$72,"Big Ten",E5:E72)</f>
        <v>1851164095</v>
      </c>
      <c r="F79" s="7" t="n">
        <f aca="false">SUMIF($A$5:$A$72,"Big Ten",F5:F72)</f>
        <v>3234687616</v>
      </c>
      <c r="G79" s="7" t="n">
        <f aca="false">SUMIF($A$5:$A$72,"Big Ten",G5:G72)</f>
        <v>1031180422</v>
      </c>
    </row>
    <row r="80" customFormat="false" ht="15" hidden="false" customHeight="false" outlineLevel="0" collapsed="false">
      <c r="A80" s="6" t="s">
        <v>49</v>
      </c>
      <c r="C80" s="6" t="n">
        <f aca="false">COUNTIF($A$5:$A$72,"Big 12")</f>
        <v>16</v>
      </c>
      <c r="D80" s="7" t="n">
        <f aca="false">SUMIF($A$5:$A$72,"Big 12",D5:D72)</f>
        <v>2131112010</v>
      </c>
      <c r="E80" s="7" t="n">
        <f aca="false">SUMIF($A$5:$A$72,"Big 12",E5:E72)</f>
        <v>792162652</v>
      </c>
      <c r="F80" s="7" t="n">
        <f aca="false">SUMIF($A$5:$A$72,"Big 12",F5:F72)</f>
        <v>2085829236</v>
      </c>
      <c r="G80" s="7" t="n">
        <f aca="false">SUMIF($A$5:$A$72,"Big 12",G5:G72)</f>
        <v>611707329</v>
      </c>
    </row>
    <row r="81" customFormat="false" ht="15" hidden="false" customHeight="false" outlineLevel="0" collapsed="false">
      <c r="A81" s="6" t="s">
        <v>66</v>
      </c>
      <c r="C81" s="6" t="n">
        <f aca="false">COUNTIF($A$5:$A$72,"SEC")</f>
        <v>16</v>
      </c>
      <c r="D81" s="7" t="n">
        <f aca="false">SUMIF($A$5:$A$72,"SEC",D5:D72)</f>
        <v>3447424773</v>
      </c>
      <c r="E81" s="7" t="n">
        <f aca="false">SUMIF($A$5:$A$72,"SEC",E5:E72)</f>
        <v>1653379452</v>
      </c>
      <c r="F81" s="7" t="n">
        <f aca="false">SUMIF($A$5:$A$72,"SEC",F5:F72)</f>
        <v>3331750464</v>
      </c>
      <c r="G81" s="7" t="n">
        <f aca="false">SUMIF($A$5:$A$72,"SEC",G5:G72)</f>
        <v>926274498</v>
      </c>
    </row>
    <row r="83" customFormat="false" ht="15" hidden="false" customHeight="false" outlineLevel="0" collapsed="false">
      <c r="A83" s="8" t="s">
        <v>89</v>
      </c>
    </row>
    <row r="84" customFormat="false" ht="15" hidden="false" customHeight="false" outlineLevel="0" collapsed="false">
      <c r="A84" s="2" t="s">
        <v>90</v>
      </c>
    </row>
    <row r="85" customFormat="false" ht="15" hidden="false" customHeight="false" outlineLevel="0" collapsed="false">
      <c r="A85" s="2" t="s">
        <v>91</v>
      </c>
    </row>
    <row r="86" customFormat="false" ht="15" hidden="false" customHeight="false" outlineLevel="0" collapsed="false">
      <c r="A86" s="2" t="s">
        <v>92</v>
      </c>
    </row>
    <row r="87" customFormat="false" ht="15" hidden="false" customHeight="false" outlineLevel="0" collapsed="false">
      <c r="A87" s="2" t="s">
        <v>93</v>
      </c>
    </row>
    <row r="88" customFormat="false" ht="15" hidden="false" customHeight="false" outlineLevel="0" collapsed="false">
      <c r="A88" s="2"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2026-10-21T20:08:26Z</dcterms:created>
  <dc:creator>openpyxl</dc:creator>
  <dc:description/>
  <dc:language>en-US</dc:language>
  <cp:lastModifiedBy/>
  <dcterms:modified xsi:type="dcterms:W3CDTF">2026-10-21T20:08:26Z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