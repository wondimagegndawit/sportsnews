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" sheetId="1" state="visible" r:id="rId3"/>
    <sheet name="NFL" sheetId="2" state="visible" r:id="rId4"/>
    <sheet name="NBA" sheetId="3" state="visible" r:id="rId5"/>
    <sheet name="MLB" sheetId="4" state="visible" r:id="rId6"/>
    <sheet name="NHL" sheetId="5" state="visible" r:id="rId7"/>
    <sheet name="MLS" sheetId="6" state="visible" r:id="rId8"/>
    <sheet name="WNB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<sst xmlns="http://schemas.openxmlformats.org/spreadsheetml/2006/main" count="392" uniqueCount="228">
  <si>
    <t xml:space="preserve">Spotrac team payroll tables transcribed from five screenshots supplied by the user (transcribed Oct 21, 2026).</t>
  </si>
  <si>
    <t xml:space="preserve">Sheet | Source page | Season | Basis</t>
  </si>
  <si>
    <t xml:space="preserve">NFL | Spotrac NFL cash tracker | 2025 (shown in screenshot) | Cash paid: Active + Dead + other cash (practice squad, IR, etc.)</t>
  </si>
  <si>
    <t xml:space="preserve">NBA | Spotrac NBA cash tracker | Not shown; records match 2025-26 | Cash paid: Active + Dead + Retained + other</t>
  </si>
  <si>
    <t xml:space="preserve">MLB | Spotrac MLB cash tracker | Not shown; records match 2025 | Cash paid: Active + Retained + other</t>
  </si>
  <si>
    <t xml:space="preserve">NHL | Spotrac NHL cash tracker | Not shown; records match 2025-26 | Cash paid: Active + Dead + other. Screenshot had no totals row; totals here are SUM formulas.</t>
  </si>
  <si>
    <t xml:space="preserve">WNBA | Spotrac WNBA cash tracker | 2025 (shown in screenshot) | Cash paid: Active + Dead + other</t>
  </si>
  <si>
    <t xml:space="preserve">MLS | Spotrac MLS cap tracker | Not shown; likely 2026 | Cap allocation (not cash): Total Allocation = Senior + Supplemental + Dead. Row 31 'MLS' is league-held dead money.</t>
  </si>
  <si>
    <t xml:space="preserve">Column notes:</t>
  </si>
  <si>
    <t xml:space="preserve">- Active = cash (or cap, for MLS) attributed to players on the active roster. Dead = money charged for players no longer on the roster. Retained = salary retained in trades (NBA/MLB).</t>
  </si>
  <si>
    <t xml:space="preserve">- Total Cash is Spotrac's figure as shown; it is not always equal to the sum of the listed columns because Spotrac includes other cash items not broken out in the table.</t>
  </si>
  <si>
    <t xml:space="preserve">- Rank is Spotrac's rank by Total Cash (NFL/NBA/MLB/NHL) or Total Allocation (MLS). NBA rows are in the screenshot's order (sorted by Retained).</t>
  </si>
  <si>
    <t xml:space="preserve">- Totals and Averages rows are formulas. Where the screenshot showed Spotrac's own totals, they are repeated beneath with a check row; a 0 means the transcription sums to Spotrac's figure.</t>
  </si>
  <si>
    <t xml:space="preserve">- '-' in the MLS Supplemental/Dead columns was left blank (no value shown). NHL UTA record was shown as '-' on Spotrac.</t>
  </si>
  <si>
    <t xml:space="preserve">NFL 2025 team cash payroll (Spotrac)</t>
  </si>
  <si>
    <t xml:space="preserve">Rank</t>
  </si>
  <si>
    <t xml:space="preserve">Team</t>
  </si>
  <si>
    <t xml:space="preserve">Record</t>
  </si>
  <si>
    <t xml:space="preserve">Signed</t>
  </si>
  <si>
    <t xml:space="preserve">Avg Age</t>
  </si>
  <si>
    <t xml:space="preserve">Active</t>
  </si>
  <si>
    <t xml:space="preserve">Dead</t>
  </si>
  <si>
    <t xml:space="preserve">Total Cash</t>
  </si>
  <si>
    <t xml:space="preserve">JAX</t>
  </si>
  <si>
    <t xml:space="preserve">13-4-0</t>
  </si>
  <si>
    <t xml:space="preserve">MIN</t>
  </si>
  <si>
    <t xml:space="preserve">9-8-0</t>
  </si>
  <si>
    <t xml:space="preserve">BUF</t>
  </si>
  <si>
    <t xml:space="preserve">12-5-0</t>
  </si>
  <si>
    <t xml:space="preserve">SF</t>
  </si>
  <si>
    <t xml:space="preserve">KC</t>
  </si>
  <si>
    <t xml:space="preserve">6-11-0</t>
  </si>
  <si>
    <t xml:space="preserve">DAL</t>
  </si>
  <si>
    <t xml:space="preserve">7-9-1</t>
  </si>
  <si>
    <t xml:space="preserve">DEN</t>
  </si>
  <si>
    <t xml:space="preserve">14-3-0</t>
  </si>
  <si>
    <t xml:space="preserve">CLE</t>
  </si>
  <si>
    <t xml:space="preserve">5-12-0</t>
  </si>
  <si>
    <t xml:space="preserve">NE</t>
  </si>
  <si>
    <t xml:space="preserve">BAL</t>
  </si>
  <si>
    <t xml:space="preserve">8-9-0</t>
  </si>
  <si>
    <t xml:space="preserve">CHI</t>
  </si>
  <si>
    <t xml:space="preserve">11-6-0</t>
  </si>
  <si>
    <t xml:space="preserve">HOU</t>
  </si>
  <si>
    <t xml:space="preserve">MIA</t>
  </si>
  <si>
    <t xml:space="preserve">7-10-0</t>
  </si>
  <si>
    <t xml:space="preserve">NYG</t>
  </si>
  <si>
    <t xml:space="preserve">4-13-0</t>
  </si>
  <si>
    <t xml:space="preserve">IND</t>
  </si>
  <si>
    <t xml:space="preserve">PIT</t>
  </si>
  <si>
    <t xml:space="preserve">10-7-0</t>
  </si>
  <si>
    <t xml:space="preserve">GB</t>
  </si>
  <si>
    <t xml:space="preserve">9-7-1</t>
  </si>
  <si>
    <t xml:space="preserve">WAS</t>
  </si>
  <si>
    <t xml:space="preserve">DET</t>
  </si>
  <si>
    <t xml:space="preserve">LAC</t>
  </si>
  <si>
    <t xml:space="preserve">CIN</t>
  </si>
  <si>
    <t xml:space="preserve">CAR</t>
  </si>
  <si>
    <t xml:space="preserve">TB</t>
  </si>
  <si>
    <t xml:space="preserve">PHI</t>
  </si>
  <si>
    <t xml:space="preserve">ATL</t>
  </si>
  <si>
    <t xml:space="preserve">LV</t>
  </si>
  <si>
    <t xml:space="preserve">3-14-0</t>
  </si>
  <si>
    <t xml:space="preserve">TEN</t>
  </si>
  <si>
    <t xml:space="preserve">ARI</t>
  </si>
  <si>
    <t xml:space="preserve">SEA</t>
  </si>
  <si>
    <t xml:space="preserve">NYJ</t>
  </si>
  <si>
    <t xml:space="preserve">LAR</t>
  </si>
  <si>
    <t xml:space="preserve">NO</t>
  </si>
  <si>
    <t xml:space="preserve">Totals</t>
  </si>
  <si>
    <t xml:space="preserve">Averages</t>
  </si>
  <si>
    <t xml:space="preserve">Spotrac reported totals (from screenshot)</t>
  </si>
  <si>
    <t xml:space="preserve">Check (SUM minus reported; 0 = transcription matches)</t>
  </si>
  <si>
    <t xml:space="preserve">NBA 2025-26 team cash payroll (Spotrac) - season inferred from records</t>
  </si>
  <si>
    <t xml:space="preserve">Retained</t>
  </si>
  <si>
    <t xml:space="preserve">17-65</t>
  </si>
  <si>
    <t xml:space="preserve">46-36</t>
  </si>
  <si>
    <t xml:space="preserve">52-30</t>
  </si>
  <si>
    <t xml:space="preserve">26-56</t>
  </si>
  <si>
    <t xml:space="preserve">42-40</t>
  </si>
  <si>
    <t xml:space="preserve">31-51</t>
  </si>
  <si>
    <t xml:space="preserve">MEM</t>
  </si>
  <si>
    <t xml:space="preserve">25-57</t>
  </si>
  <si>
    <t xml:space="preserve">BOS</t>
  </si>
  <si>
    <t xml:space="preserve">56-26</t>
  </si>
  <si>
    <t xml:space="preserve">GSW</t>
  </si>
  <si>
    <t xml:space="preserve">37-45</t>
  </si>
  <si>
    <t xml:space="preserve">SAC</t>
  </si>
  <si>
    <t xml:space="preserve">22-60</t>
  </si>
  <si>
    <t xml:space="preserve">49-33</t>
  </si>
  <si>
    <t xml:space="preserve">19-63</t>
  </si>
  <si>
    <t xml:space="preserve">UTA</t>
  </si>
  <si>
    <t xml:space="preserve">LAL</t>
  </si>
  <si>
    <t xml:space="preserve">53-29</t>
  </si>
  <si>
    <t xml:space="preserve">60-22</t>
  </si>
  <si>
    <t xml:space="preserve">45-37</t>
  </si>
  <si>
    <t xml:space="preserve">ORL</t>
  </si>
  <si>
    <t xml:space="preserve">PHX</t>
  </si>
  <si>
    <t xml:space="preserve">TOR</t>
  </si>
  <si>
    <t xml:space="preserve">OKC</t>
  </si>
  <si>
    <t xml:space="preserve">64-18</t>
  </si>
  <si>
    <t xml:space="preserve">MIL</t>
  </si>
  <si>
    <t xml:space="preserve">32-50</t>
  </si>
  <si>
    <t xml:space="preserve">NYK</t>
  </si>
  <si>
    <t xml:space="preserve">NOP</t>
  </si>
  <si>
    <t xml:space="preserve">CHA</t>
  </si>
  <si>
    <t xml:space="preserve">44-38</t>
  </si>
  <si>
    <t xml:space="preserve">54-28</t>
  </si>
  <si>
    <t xml:space="preserve">POR</t>
  </si>
  <si>
    <t xml:space="preserve">43-39</t>
  </si>
  <si>
    <t xml:space="preserve">BKN</t>
  </si>
  <si>
    <t xml:space="preserve">20-62</t>
  </si>
  <si>
    <t xml:space="preserve">SAS</t>
  </si>
  <si>
    <t xml:space="preserve">62-20</t>
  </si>
  <si>
    <t xml:space="preserve">MLB 2025 team cash payroll (Spotrac) - season inferred from records</t>
  </si>
  <si>
    <t xml:space="preserve">NYM</t>
  </si>
  <si>
    <t xml:space="preserve">83-79</t>
  </si>
  <si>
    <t xml:space="preserve">LAD</t>
  </si>
  <si>
    <t xml:space="preserve">93-69</t>
  </si>
  <si>
    <t xml:space="preserve">NYY</t>
  </si>
  <si>
    <t xml:space="preserve">94-68</t>
  </si>
  <si>
    <t xml:space="preserve">96-66</t>
  </si>
  <si>
    <t xml:space="preserve">87-75</t>
  </si>
  <si>
    <t xml:space="preserve">TEX</t>
  </si>
  <si>
    <t xml:space="preserve">81-81</t>
  </si>
  <si>
    <t xml:space="preserve">76-86</t>
  </si>
  <si>
    <t xml:space="preserve">SD</t>
  </si>
  <si>
    <t xml:space="preserve">90-72</t>
  </si>
  <si>
    <t xml:space="preserve">CHC</t>
  </si>
  <si>
    <t xml:space="preserve">92-70</t>
  </si>
  <si>
    <t xml:space="preserve">LAA</t>
  </si>
  <si>
    <t xml:space="preserve">72-90</t>
  </si>
  <si>
    <t xml:space="preserve">89-73</t>
  </si>
  <si>
    <t xml:space="preserve">80-82</t>
  </si>
  <si>
    <t xml:space="preserve">75-87</t>
  </si>
  <si>
    <t xml:space="preserve">STL</t>
  </si>
  <si>
    <t xml:space="preserve">78-84</t>
  </si>
  <si>
    <t xml:space="preserve">82-80</t>
  </si>
  <si>
    <t xml:space="preserve">70-92</t>
  </si>
  <si>
    <t xml:space="preserve">WSH</t>
  </si>
  <si>
    <t xml:space="preserve">66-96</t>
  </si>
  <si>
    <t xml:space="preserve">COL</t>
  </si>
  <si>
    <t xml:space="preserve">43-119</t>
  </si>
  <si>
    <t xml:space="preserve">97-65</t>
  </si>
  <si>
    <t xml:space="preserve">88-74</t>
  </si>
  <si>
    <t xml:space="preserve">ATH</t>
  </si>
  <si>
    <t xml:space="preserve">71-91</t>
  </si>
  <si>
    <t xml:space="preserve">77-85</t>
  </si>
  <si>
    <t xml:space="preserve">CHW</t>
  </si>
  <si>
    <t xml:space="preserve">60-102</t>
  </si>
  <si>
    <t xml:space="preserve">79-83</t>
  </si>
  <si>
    <t xml:space="preserve">NHL 2025-26 team cash payroll (Spotrac) - season inferred from records</t>
  </si>
  <si>
    <t xml:space="preserve">VGK</t>
  </si>
  <si>
    <t xml:space="preserve">39-26-17 (95)</t>
  </si>
  <si>
    <t xml:space="preserve">50-20-12 (112)</t>
  </si>
  <si>
    <t xml:space="preserve">FLA</t>
  </si>
  <si>
    <t xml:space="preserve">40-38-4 (84)</t>
  </si>
  <si>
    <t xml:space="preserve">NYR</t>
  </si>
  <si>
    <t xml:space="preserve">34-39-9 (77)</t>
  </si>
  <si>
    <t xml:space="preserve">NJD</t>
  </si>
  <si>
    <t xml:space="preserve">42-37-3 (87)</t>
  </si>
  <si>
    <t xml:space="preserve">TBL</t>
  </si>
  <si>
    <t xml:space="preserve">50-26-6 (106)</t>
  </si>
  <si>
    <t xml:space="preserve">37-33-12 (86)</t>
  </si>
  <si>
    <t xml:space="preserve">32-36-14 (78)</t>
  </si>
  <si>
    <t xml:space="preserve">MTL</t>
  </si>
  <si>
    <t xml:space="preserve">48-24-10 (106)</t>
  </si>
  <si>
    <t xml:space="preserve">45-27-10 (100)</t>
  </si>
  <si>
    <t xml:space="preserve">EDM</t>
  </si>
  <si>
    <t xml:space="preserve">41-30-11 (93)</t>
  </si>
  <si>
    <t xml:space="preserve">-</t>
  </si>
  <si>
    <t xml:space="preserve">43-30-9 (95)</t>
  </si>
  <si>
    <t xml:space="preserve">53-22-7 (113)</t>
  </si>
  <si>
    <t xml:space="preserve">43-27-12 (98)</t>
  </si>
  <si>
    <t xml:space="preserve">55-16-11 (121)</t>
  </si>
  <si>
    <t xml:space="preserve">VAN</t>
  </si>
  <si>
    <t xml:space="preserve">25-49-8 (58)</t>
  </si>
  <si>
    <t xml:space="preserve">34-37-11 (79)</t>
  </si>
  <si>
    <t xml:space="preserve">NYI</t>
  </si>
  <si>
    <t xml:space="preserve">43-34-5 (91)</t>
  </si>
  <si>
    <t xml:space="preserve">46-24-12 (104)</t>
  </si>
  <si>
    <t xml:space="preserve">50-23-9 (109)</t>
  </si>
  <si>
    <t xml:space="preserve">OTT</t>
  </si>
  <si>
    <t xml:space="preserve">44-27-11 (99)</t>
  </si>
  <si>
    <t xml:space="preserve">LAK</t>
  </si>
  <si>
    <t xml:space="preserve">35-27-20 (90)</t>
  </si>
  <si>
    <t xml:space="preserve">WPG</t>
  </si>
  <si>
    <t xml:space="preserve">35-35-12 (82)</t>
  </si>
  <si>
    <t xml:space="preserve">41-25-16 (98)</t>
  </si>
  <si>
    <t xml:space="preserve">CBJ</t>
  </si>
  <si>
    <t xml:space="preserve">40-30-12 (92)</t>
  </si>
  <si>
    <t xml:space="preserve">NSH</t>
  </si>
  <si>
    <t xml:space="preserve">38-34-10 (86)</t>
  </si>
  <si>
    <t xml:space="preserve">SJS</t>
  </si>
  <si>
    <t xml:space="preserve">39-35-8 (86)</t>
  </si>
  <si>
    <t xml:space="preserve">41-31-10 (92)</t>
  </si>
  <si>
    <t xml:space="preserve">CGY</t>
  </si>
  <si>
    <t xml:space="preserve">ANA</t>
  </si>
  <si>
    <t xml:space="preserve">43-33-6 (92)</t>
  </si>
  <si>
    <t xml:space="preserve">29-39-14 (72)</t>
  </si>
  <si>
    <t xml:space="preserve">Screenshot showed no Totals/Averages row; the rows above are computed here.</t>
  </si>
  <si>
    <t xml:space="preserve">MLS team salary cap allocation (Spotrac) - season not shown, likely 2026</t>
  </si>
  <si>
    <t xml:space="preserve">Players Active</t>
  </si>
  <si>
    <t xml:space="preserve">Total Allocation</t>
  </si>
  <si>
    <t xml:space="preserve">Senior</t>
  </si>
  <si>
    <t xml:space="preserve">Supplemental</t>
  </si>
  <si>
    <t xml:space="preserve">LAFC</t>
  </si>
  <si>
    <t xml:space="preserve">RBNY</t>
  </si>
  <si>
    <t xml:space="preserve">LA</t>
  </si>
  <si>
    <t xml:space="preserve">NYC</t>
  </si>
  <si>
    <t xml:space="preserve">CLT</t>
  </si>
  <si>
    <t xml:space="preserve">CLB</t>
  </si>
  <si>
    <t xml:space="preserve">SKC</t>
  </si>
  <si>
    <t xml:space="preserve">SJ</t>
  </si>
  <si>
    <t xml:space="preserve">RSL</t>
  </si>
  <si>
    <t xml:space="preserve">ATX</t>
  </si>
  <si>
    <t xml:space="preserve">DC</t>
  </si>
  <si>
    <t xml:space="preserve">MLS</t>
  </si>
  <si>
    <t xml:space="preserve">Spotrac reported averages (from screenshot)</t>
  </si>
  <si>
    <t xml:space="preserve">Check (AVERAGE minus reported average; small differences are rounding)</t>
  </si>
  <si>
    <t xml:space="preserve">Spotrac's screenshot showed only an Averages row (no Totals); Totals here are computed.</t>
  </si>
  <si>
    <t xml:space="preserve">WNBA 2025 team cash payroll (Spotrac)</t>
  </si>
  <si>
    <t xml:space="preserve">Playoff team</t>
  </si>
  <si>
    <t xml:space="preserve">Champion</t>
  </si>
  <si>
    <t xml:space="preserve">NY</t>
  </si>
  <si>
    <t xml:space="preserve">CON</t>
  </si>
  <si>
    <t xml:space="preserve">GS</t>
  </si>
  <si>
    <t xml:space="preserve">Spotrac's Record column showed only icons (star = playoff team, trophy = champion); those are written as text here.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</si>
</sst>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\$#,##0;&quot;($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1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8" min="6" style="0" width="16"/>
  </cols>
  <sheetData>
    <row r="1" customFormat="false" ht="16.15" hidden="false" customHeight="false" outlineLevel="0" collapsed="false">
      <c r="A1" s="3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customFormat="false" ht="15" hidden="false" customHeight="false" outlineLevel="0" collapsed="false">
      <c r="A4" s="5" t="n">
        <v>1</v>
      </c>
      <c r="B4" s="2" t="s">
        <v>23</v>
      </c>
      <c r="C4" s="2" t="s">
        <v>24</v>
      </c>
      <c r="D4" s="5" t="n">
        <v>53</v>
      </c>
      <c r="E4" s="6" t="n">
        <v>26.6</v>
      </c>
      <c r="F4" s="7" t="n">
        <v>261092850</v>
      </c>
      <c r="G4" s="7" t="n">
        <v>37466321</v>
      </c>
      <c r="H4" s="7" t="n">
        <v>351286256</v>
      </c>
    </row>
    <row r="5" customFormat="false" ht="15" hidden="false" customHeight="false" outlineLevel="0" collapsed="false">
      <c r="A5" s="5" t="n">
        <v>2</v>
      </c>
      <c r="B5" s="2" t="s">
        <v>25</v>
      </c>
      <c r="C5" s="2" t="s">
        <v>26</v>
      </c>
      <c r="D5" s="5" t="n">
        <v>53</v>
      </c>
      <c r="E5" s="6" t="n">
        <v>26.7</v>
      </c>
      <c r="F5" s="7" t="n">
        <v>257410240</v>
      </c>
      <c r="G5" s="7" t="n">
        <v>15490880</v>
      </c>
      <c r="H5" s="7" t="n">
        <v>345839763</v>
      </c>
    </row>
    <row r="6" customFormat="false" ht="15" hidden="false" customHeight="false" outlineLevel="0" collapsed="false">
      <c r="A6" s="5" t="n">
        <v>3</v>
      </c>
      <c r="B6" s="2" t="s">
        <v>27</v>
      </c>
      <c r="C6" s="2" t="s">
        <v>28</v>
      </c>
      <c r="D6" s="5" t="n">
        <v>54</v>
      </c>
      <c r="E6" s="6" t="n">
        <v>27.5</v>
      </c>
      <c r="F6" s="7" t="n">
        <v>288096943</v>
      </c>
      <c r="G6" s="7" t="n">
        <v>10479876</v>
      </c>
      <c r="H6" s="7" t="n">
        <v>342529524</v>
      </c>
    </row>
    <row r="7" customFormat="false" ht="15" hidden="false" customHeight="false" outlineLevel="0" collapsed="false">
      <c r="A7" s="5" t="n">
        <v>4</v>
      </c>
      <c r="B7" s="2" t="s">
        <v>29</v>
      </c>
      <c r="C7" s="2" t="s">
        <v>28</v>
      </c>
      <c r="D7" s="5" t="n">
        <v>52</v>
      </c>
      <c r="E7" s="6" t="n">
        <v>27.3</v>
      </c>
      <c r="F7" s="7" t="n">
        <v>221242921</v>
      </c>
      <c r="G7" s="7" t="n">
        <v>10880068</v>
      </c>
      <c r="H7" s="7" t="n">
        <v>332061491</v>
      </c>
    </row>
    <row r="8" customFormat="false" ht="15" hidden="false" customHeight="false" outlineLevel="0" collapsed="false">
      <c r="A8" s="5" t="n">
        <v>5</v>
      </c>
      <c r="B8" s="2" t="s">
        <v>30</v>
      </c>
      <c r="C8" s="2" t="s">
        <v>31</v>
      </c>
      <c r="D8" s="5" t="n">
        <v>52</v>
      </c>
      <c r="E8" s="6" t="n">
        <v>26.5</v>
      </c>
      <c r="F8" s="7" t="n">
        <v>213385253</v>
      </c>
      <c r="G8" s="7" t="n">
        <v>9025736</v>
      </c>
      <c r="H8" s="7" t="n">
        <v>325778983</v>
      </c>
    </row>
    <row r="9" customFormat="false" ht="15" hidden="false" customHeight="false" outlineLevel="0" collapsed="false">
      <c r="A9" s="5" t="n">
        <v>6</v>
      </c>
      <c r="B9" s="2" t="s">
        <v>32</v>
      </c>
      <c r="C9" s="2" t="s">
        <v>33</v>
      </c>
      <c r="D9" s="5" t="n">
        <v>52</v>
      </c>
      <c r="E9" s="6" t="n">
        <v>26.5</v>
      </c>
      <c r="F9" s="7" t="n">
        <v>260349968</v>
      </c>
      <c r="G9" s="7" t="n">
        <v>19851098</v>
      </c>
      <c r="H9" s="7" t="n">
        <v>323756022</v>
      </c>
    </row>
    <row r="10" customFormat="false" ht="15" hidden="false" customHeight="false" outlineLevel="0" collapsed="false">
      <c r="A10" s="5" t="n">
        <v>7</v>
      </c>
      <c r="B10" s="2" t="s">
        <v>34</v>
      </c>
      <c r="C10" s="2" t="s">
        <v>35</v>
      </c>
      <c r="D10" s="5" t="n">
        <v>52</v>
      </c>
      <c r="E10" s="6" t="n">
        <v>26.9</v>
      </c>
      <c r="F10" s="7" t="n">
        <v>282276856</v>
      </c>
      <c r="G10" s="7" t="n">
        <v>12585345</v>
      </c>
      <c r="H10" s="7" t="n">
        <v>319238688</v>
      </c>
    </row>
    <row r="11" customFormat="false" ht="15" hidden="false" customHeight="false" outlineLevel="0" collapsed="false">
      <c r="A11" s="5" t="n">
        <v>8</v>
      </c>
      <c r="B11" s="2" t="s">
        <v>36</v>
      </c>
      <c r="C11" s="2" t="s">
        <v>37</v>
      </c>
      <c r="D11" s="5" t="n">
        <v>53</v>
      </c>
      <c r="E11" s="6" t="n">
        <v>25.9</v>
      </c>
      <c r="F11" s="7" t="n">
        <v>182410932</v>
      </c>
      <c r="G11" s="7" t="n">
        <v>22578605</v>
      </c>
      <c r="H11" s="7" t="n">
        <v>319030384</v>
      </c>
    </row>
    <row r="12" customFormat="false" ht="15" hidden="false" customHeight="false" outlineLevel="0" collapsed="false">
      <c r="A12" s="5" t="n">
        <v>9</v>
      </c>
      <c r="B12" s="2" t="s">
        <v>38</v>
      </c>
      <c r="C12" s="2" t="s">
        <v>35</v>
      </c>
      <c r="D12" s="5" t="n">
        <v>53</v>
      </c>
      <c r="E12" s="6" t="n">
        <v>26.1</v>
      </c>
      <c r="F12" s="7" t="n">
        <v>271750278</v>
      </c>
      <c r="G12" s="7" t="n">
        <v>25783391</v>
      </c>
      <c r="H12" s="7" t="n">
        <v>314469647</v>
      </c>
    </row>
    <row r="13" customFormat="false" ht="15" hidden="false" customHeight="false" outlineLevel="0" collapsed="false">
      <c r="A13" s="5" t="n">
        <v>10</v>
      </c>
      <c r="B13" s="2" t="s">
        <v>39</v>
      </c>
      <c r="C13" s="2" t="s">
        <v>40</v>
      </c>
      <c r="D13" s="5" t="n">
        <v>53</v>
      </c>
      <c r="E13" s="6" t="n">
        <v>26.4</v>
      </c>
      <c r="F13" s="7" t="n">
        <v>266708561</v>
      </c>
      <c r="G13" s="7" t="n">
        <v>12036632</v>
      </c>
      <c r="H13" s="7" t="n">
        <v>314265796</v>
      </c>
    </row>
    <row r="14" customFormat="false" ht="15" hidden="false" customHeight="false" outlineLevel="0" collapsed="false">
      <c r="A14" s="5" t="n">
        <v>11</v>
      </c>
      <c r="B14" s="2" t="s">
        <v>41</v>
      </c>
      <c r="C14" s="2" t="s">
        <v>42</v>
      </c>
      <c r="D14" s="5" t="n">
        <v>52</v>
      </c>
      <c r="E14" s="6" t="n">
        <v>26.9</v>
      </c>
      <c r="F14" s="7" t="n">
        <v>263285269</v>
      </c>
      <c r="G14" s="7" t="n">
        <v>5699101</v>
      </c>
      <c r="H14" s="7" t="n">
        <v>312702248</v>
      </c>
    </row>
    <row r="15" customFormat="false" ht="15" hidden="false" customHeight="false" outlineLevel="0" collapsed="false">
      <c r="A15" s="5" t="n">
        <v>12</v>
      </c>
      <c r="B15" s="2" t="s">
        <v>43</v>
      </c>
      <c r="C15" s="2" t="s">
        <v>28</v>
      </c>
      <c r="D15" s="5" t="n">
        <v>53</v>
      </c>
      <c r="E15" s="6" t="n">
        <v>26.7</v>
      </c>
      <c r="F15" s="7" t="n">
        <v>235455131</v>
      </c>
      <c r="G15" s="7" t="n">
        <v>38480839</v>
      </c>
      <c r="H15" s="7" t="n">
        <v>310903330</v>
      </c>
    </row>
    <row r="16" customFormat="false" ht="15" hidden="false" customHeight="false" outlineLevel="0" collapsed="false">
      <c r="A16" s="5" t="n">
        <v>13</v>
      </c>
      <c r="B16" s="2" t="s">
        <v>44</v>
      </c>
      <c r="C16" s="2" t="s">
        <v>45</v>
      </c>
      <c r="D16" s="5" t="n">
        <v>51</v>
      </c>
      <c r="E16" s="6" t="n">
        <v>26</v>
      </c>
      <c r="F16" s="7" t="n">
        <v>213928135</v>
      </c>
      <c r="G16" s="7" t="n">
        <v>35297008</v>
      </c>
      <c r="H16" s="7" t="n">
        <v>310219537</v>
      </c>
    </row>
    <row r="17" customFormat="false" ht="15" hidden="false" customHeight="false" outlineLevel="0" collapsed="false">
      <c r="A17" s="5" t="n">
        <v>14</v>
      </c>
      <c r="B17" s="2" t="s">
        <v>46</v>
      </c>
      <c r="C17" s="2" t="s">
        <v>47</v>
      </c>
      <c r="D17" s="5" t="n">
        <v>53</v>
      </c>
      <c r="E17" s="6" t="n">
        <v>26.9</v>
      </c>
      <c r="F17" s="7" t="n">
        <v>235863281</v>
      </c>
      <c r="G17" s="7" t="n">
        <v>8194864</v>
      </c>
      <c r="H17" s="7" t="n">
        <v>307786025</v>
      </c>
    </row>
    <row r="18" customFormat="false" ht="15" hidden="false" customHeight="false" outlineLevel="0" collapsed="false">
      <c r="A18" s="5" t="n">
        <v>15</v>
      </c>
      <c r="B18" s="2" t="s">
        <v>48</v>
      </c>
      <c r="C18" s="2" t="s">
        <v>40</v>
      </c>
      <c r="D18" s="5" t="n">
        <v>52</v>
      </c>
      <c r="E18" s="6" t="n">
        <v>27</v>
      </c>
      <c r="F18" s="7" t="n">
        <v>209818078</v>
      </c>
      <c r="G18" s="7" t="n">
        <v>8894018</v>
      </c>
      <c r="H18" s="7" t="n">
        <v>306567086</v>
      </c>
    </row>
    <row r="19" customFormat="false" ht="15" hidden="false" customHeight="false" outlineLevel="0" collapsed="false">
      <c r="A19" s="5" t="n">
        <v>16</v>
      </c>
      <c r="B19" s="2" t="s">
        <v>49</v>
      </c>
      <c r="C19" s="2" t="s">
        <v>50</v>
      </c>
      <c r="D19" s="5" t="n">
        <v>54</v>
      </c>
      <c r="E19" s="6" t="n">
        <v>27.8</v>
      </c>
      <c r="F19" s="7" t="n">
        <v>257128116</v>
      </c>
      <c r="G19" s="7" t="n">
        <v>19778426</v>
      </c>
      <c r="H19" s="7" t="n">
        <v>304986854</v>
      </c>
    </row>
    <row r="20" customFormat="false" ht="15" hidden="false" customHeight="false" outlineLevel="0" collapsed="false">
      <c r="A20" s="5" t="n">
        <v>17</v>
      </c>
      <c r="B20" s="2" t="s">
        <v>51</v>
      </c>
      <c r="C20" s="2" t="s">
        <v>52</v>
      </c>
      <c r="D20" s="5" t="n">
        <v>53</v>
      </c>
      <c r="E20" s="6" t="n">
        <v>25.4</v>
      </c>
      <c r="F20" s="7" t="n">
        <v>197829094</v>
      </c>
      <c r="G20" s="7" t="n">
        <v>14676660</v>
      </c>
      <c r="H20" s="7" t="n">
        <v>304055424</v>
      </c>
    </row>
    <row r="21" customFormat="false" ht="15" hidden="false" customHeight="false" outlineLevel="0" collapsed="false">
      <c r="A21" s="5" t="n">
        <v>18</v>
      </c>
      <c r="B21" s="2" t="s">
        <v>53</v>
      </c>
      <c r="C21" s="2" t="s">
        <v>37</v>
      </c>
      <c r="D21" s="5" t="n">
        <v>53</v>
      </c>
      <c r="E21" s="6" t="n">
        <v>28.6</v>
      </c>
      <c r="F21" s="7" t="n">
        <v>225311616</v>
      </c>
      <c r="G21" s="7" t="n">
        <v>14702613</v>
      </c>
      <c r="H21" s="7" t="n">
        <v>303521302</v>
      </c>
    </row>
    <row r="22" customFormat="false" ht="15" hidden="false" customHeight="false" outlineLevel="0" collapsed="false">
      <c r="A22" s="5" t="n">
        <v>19</v>
      </c>
      <c r="B22" s="2" t="s">
        <v>54</v>
      </c>
      <c r="C22" s="2" t="s">
        <v>26</v>
      </c>
      <c r="D22" s="5" t="n">
        <v>52</v>
      </c>
      <c r="E22" s="6" t="n">
        <v>27.1</v>
      </c>
      <c r="F22" s="7" t="n">
        <v>251604207</v>
      </c>
      <c r="G22" s="7" t="n">
        <v>15622683</v>
      </c>
      <c r="H22" s="7" t="n">
        <v>302692969</v>
      </c>
    </row>
    <row r="23" customFormat="false" ht="15" hidden="false" customHeight="false" outlineLevel="0" collapsed="false">
      <c r="A23" s="5" t="n">
        <v>20</v>
      </c>
      <c r="B23" s="2" t="s">
        <v>55</v>
      </c>
      <c r="C23" s="2" t="s">
        <v>42</v>
      </c>
      <c r="D23" s="5" t="n">
        <v>52</v>
      </c>
      <c r="E23" s="6" t="n">
        <v>26.8</v>
      </c>
      <c r="F23" s="7" t="n">
        <v>227844947</v>
      </c>
      <c r="G23" s="7" t="n">
        <v>13288419</v>
      </c>
      <c r="H23" s="7" t="n">
        <v>295320024</v>
      </c>
    </row>
    <row r="24" customFormat="false" ht="15" hidden="false" customHeight="false" outlineLevel="0" collapsed="false">
      <c r="A24" s="5" t="n">
        <v>21</v>
      </c>
      <c r="B24" s="2" t="s">
        <v>56</v>
      </c>
      <c r="C24" s="2" t="s">
        <v>31</v>
      </c>
      <c r="D24" s="5" t="n">
        <v>53</v>
      </c>
      <c r="E24" s="6" t="n">
        <v>26.6</v>
      </c>
      <c r="F24" s="7" t="n">
        <v>245759628</v>
      </c>
      <c r="G24" s="7" t="n">
        <v>7251790</v>
      </c>
      <c r="H24" s="7" t="n">
        <v>293299482</v>
      </c>
    </row>
    <row r="25" customFormat="false" ht="15" hidden="false" customHeight="false" outlineLevel="0" collapsed="false">
      <c r="A25" s="5" t="n">
        <v>22</v>
      </c>
      <c r="B25" s="2" t="s">
        <v>57</v>
      </c>
      <c r="C25" s="2" t="s">
        <v>40</v>
      </c>
      <c r="D25" s="5" t="n">
        <v>53</v>
      </c>
      <c r="E25" s="6" t="n">
        <v>26.6</v>
      </c>
      <c r="F25" s="7" t="n">
        <v>242242275</v>
      </c>
      <c r="G25" s="7" t="n">
        <v>12545372</v>
      </c>
      <c r="H25" s="7" t="n">
        <v>293207003</v>
      </c>
    </row>
    <row r="26" customFormat="false" ht="15" hidden="false" customHeight="false" outlineLevel="0" collapsed="false">
      <c r="A26" s="5" t="n">
        <v>23</v>
      </c>
      <c r="B26" s="2" t="s">
        <v>58</v>
      </c>
      <c r="C26" s="2" t="s">
        <v>40</v>
      </c>
      <c r="D26" s="5" t="n">
        <v>53</v>
      </c>
      <c r="E26" s="6" t="n">
        <v>26.6</v>
      </c>
      <c r="F26" s="7" t="n">
        <v>261229825</v>
      </c>
      <c r="G26" s="7" t="n">
        <v>9814485</v>
      </c>
      <c r="H26" s="7" t="n">
        <v>292414010</v>
      </c>
    </row>
    <row r="27" customFormat="false" ht="15" hidden="false" customHeight="false" outlineLevel="0" collapsed="false">
      <c r="A27" s="5" t="n">
        <v>24</v>
      </c>
      <c r="B27" s="2" t="s">
        <v>59</v>
      </c>
      <c r="C27" s="2" t="s">
        <v>42</v>
      </c>
      <c r="D27" s="5" t="n">
        <v>52</v>
      </c>
      <c r="E27" s="6" t="n">
        <v>26.1</v>
      </c>
      <c r="F27" s="7" t="n">
        <v>256465504</v>
      </c>
      <c r="G27" s="7" t="n">
        <v>22887904</v>
      </c>
      <c r="H27" s="7" t="n">
        <v>291750861</v>
      </c>
    </row>
    <row r="28" customFormat="false" ht="15" hidden="false" customHeight="false" outlineLevel="0" collapsed="false">
      <c r="A28" s="5" t="n">
        <v>25</v>
      </c>
      <c r="B28" s="2" t="s">
        <v>60</v>
      </c>
      <c r="C28" s="2" t="s">
        <v>40</v>
      </c>
      <c r="D28" s="5" t="n">
        <v>53</v>
      </c>
      <c r="E28" s="6" t="n">
        <v>27</v>
      </c>
      <c r="F28" s="7" t="n">
        <v>220804740</v>
      </c>
      <c r="G28" s="7" t="n">
        <v>22834500</v>
      </c>
      <c r="H28" s="7" t="n">
        <v>283102351</v>
      </c>
    </row>
    <row r="29" customFormat="false" ht="15" hidden="false" customHeight="false" outlineLevel="0" collapsed="false">
      <c r="A29" s="5" t="n">
        <v>26</v>
      </c>
      <c r="B29" s="2" t="s">
        <v>61</v>
      </c>
      <c r="C29" s="2" t="s">
        <v>62</v>
      </c>
      <c r="D29" s="5" t="n">
        <v>53</v>
      </c>
      <c r="E29" s="6" t="n">
        <v>26.5</v>
      </c>
      <c r="F29" s="7" t="n">
        <v>161476887</v>
      </c>
      <c r="G29" s="7" t="n">
        <v>46491471</v>
      </c>
      <c r="H29" s="7" t="n">
        <v>280443456</v>
      </c>
    </row>
    <row r="30" customFormat="false" ht="15" hidden="false" customHeight="false" outlineLevel="0" collapsed="false">
      <c r="A30" s="5" t="n">
        <v>27</v>
      </c>
      <c r="B30" s="2" t="s">
        <v>63</v>
      </c>
      <c r="C30" s="2" t="s">
        <v>62</v>
      </c>
      <c r="D30" s="5" t="n">
        <v>52</v>
      </c>
      <c r="E30" s="6" t="n">
        <v>26.2</v>
      </c>
      <c r="F30" s="7" t="n">
        <v>186629220</v>
      </c>
      <c r="G30" s="7" t="n">
        <v>30825003</v>
      </c>
      <c r="H30" s="7" t="n">
        <v>279603618</v>
      </c>
    </row>
    <row r="31" customFormat="false" ht="15" hidden="false" customHeight="false" outlineLevel="0" collapsed="false">
      <c r="A31" s="5" t="n">
        <v>28</v>
      </c>
      <c r="B31" s="2" t="s">
        <v>64</v>
      </c>
      <c r="C31" s="2" t="s">
        <v>62</v>
      </c>
      <c r="D31" s="5" t="n">
        <v>53</v>
      </c>
      <c r="E31" s="6" t="n">
        <v>26.5</v>
      </c>
      <c r="F31" s="7" t="n">
        <v>160741581</v>
      </c>
      <c r="G31" s="7" t="n">
        <v>17294036</v>
      </c>
      <c r="H31" s="7" t="n">
        <v>277071571</v>
      </c>
    </row>
    <row r="32" customFormat="false" ht="15" hidden="false" customHeight="false" outlineLevel="0" collapsed="false">
      <c r="A32" s="5" t="n">
        <v>29</v>
      </c>
      <c r="B32" s="2" t="s">
        <v>65</v>
      </c>
      <c r="C32" s="2" t="s">
        <v>35</v>
      </c>
      <c r="D32" s="5" t="n">
        <v>52</v>
      </c>
      <c r="E32" s="6" t="n">
        <v>26.2</v>
      </c>
      <c r="F32" s="7" t="n">
        <v>231937773</v>
      </c>
      <c r="G32" s="7" t="n">
        <v>16634386</v>
      </c>
      <c r="H32" s="7" t="n">
        <v>260745974</v>
      </c>
    </row>
    <row r="33" customFormat="false" ht="15" hidden="false" customHeight="false" outlineLevel="0" collapsed="false">
      <c r="A33" s="5" t="n">
        <v>30</v>
      </c>
      <c r="B33" s="2" t="s">
        <v>66</v>
      </c>
      <c r="C33" s="2" t="s">
        <v>62</v>
      </c>
      <c r="D33" s="5" t="n">
        <v>52</v>
      </c>
      <c r="E33" s="6" t="n">
        <v>26.2</v>
      </c>
      <c r="F33" s="7" t="n">
        <v>125428818</v>
      </c>
      <c r="G33" s="7" t="n">
        <v>42322089</v>
      </c>
      <c r="H33" s="7" t="n">
        <v>256683144</v>
      </c>
    </row>
    <row r="34" customFormat="false" ht="15" hidden="false" customHeight="false" outlineLevel="0" collapsed="false">
      <c r="A34" s="5" t="n">
        <v>31</v>
      </c>
      <c r="B34" s="2" t="s">
        <v>67</v>
      </c>
      <c r="C34" s="2" t="s">
        <v>28</v>
      </c>
      <c r="D34" s="5" t="n">
        <v>53</v>
      </c>
      <c r="E34" s="6" t="n">
        <v>26.9</v>
      </c>
      <c r="F34" s="7" t="n">
        <v>216308631</v>
      </c>
      <c r="G34" s="7" t="n">
        <v>12191449</v>
      </c>
      <c r="H34" s="7" t="n">
        <v>247749740</v>
      </c>
    </row>
    <row r="35" customFormat="false" ht="15" hidden="false" customHeight="false" outlineLevel="0" collapsed="false">
      <c r="A35" s="5" t="n">
        <v>32</v>
      </c>
      <c r="B35" s="2" t="s">
        <v>68</v>
      </c>
      <c r="C35" s="2" t="s">
        <v>31</v>
      </c>
      <c r="D35" s="5" t="n">
        <v>53</v>
      </c>
      <c r="E35" s="6" t="n">
        <v>26.5</v>
      </c>
      <c r="F35" s="7" t="n">
        <v>172078387</v>
      </c>
      <c r="G35" s="7" t="n">
        <v>31572093</v>
      </c>
      <c r="H35" s="7" t="n">
        <v>238848113</v>
      </c>
    </row>
    <row r="36" customFormat="false" ht="15" hidden="false" customHeight="false" outlineLevel="0" collapsed="false">
      <c r="A36" s="8" t="s">
        <v>69</v>
      </c>
      <c r="B36" s="9"/>
      <c r="C36" s="9"/>
      <c r="D36" s="10" t="n">
        <f aca="false">SUM(D4:D35)</f>
        <v>1684</v>
      </c>
      <c r="E36" s="9"/>
      <c r="F36" s="11" t="n">
        <f aca="false">SUM(F4:F35)</f>
        <v>7303895945</v>
      </c>
      <c r="G36" s="11" t="n">
        <f aca="false">SUM(G4:G35)</f>
        <v>623477161</v>
      </c>
      <c r="H36" s="11" t="n">
        <f aca="false">SUM(H4:H35)</f>
        <v>9641930676</v>
      </c>
    </row>
    <row r="37" customFormat="false" ht="15" hidden="false" customHeight="false" outlineLevel="0" collapsed="false">
      <c r="A37" s="8" t="s">
        <v>70</v>
      </c>
      <c r="B37" s="9"/>
      <c r="C37" s="9"/>
      <c r="D37" s="12" t="n">
        <f aca="false">AVERAGE(D4:D35)</f>
        <v>52.625</v>
      </c>
      <c r="E37" s="12" t="n">
        <f aca="false">AVERAGE(E4:E35)</f>
        <v>26.671875</v>
      </c>
      <c r="F37" s="11" t="n">
        <f aca="false">AVERAGE(F4:F35)</f>
        <v>228246748.28125</v>
      </c>
      <c r="G37" s="11" t="n">
        <f aca="false">AVERAGE(G4:G35)</f>
        <v>19483661.28125</v>
      </c>
      <c r="H37" s="11" t="n">
        <f aca="false">AVERAGE(H4:H35)</f>
        <v>301310333.625</v>
      </c>
    </row>
    <row r="38" customFormat="false" ht="15" hidden="false" customHeight="false" outlineLevel="0" collapsed="false">
      <c r="A38" s="13" t="s">
        <v>71</v>
      </c>
      <c r="D38" s="14" t="n">
        <v>1684</v>
      </c>
      <c r="F38" s="15" t="n">
        <v>7303895945</v>
      </c>
      <c r="G38" s="15" t="n">
        <v>623477161</v>
      </c>
      <c r="H38" s="15" t="n">
        <v>9641930676</v>
      </c>
    </row>
    <row r="39" customFormat="false" ht="15" hidden="false" customHeight="false" outlineLevel="0" collapsed="false">
      <c r="A39" s="13" t="s">
        <v>72</v>
      </c>
      <c r="D39" s="14" t="n">
        <f aca="false">D36-D38</f>
        <v>0</v>
      </c>
      <c r="F39" s="15" t="n">
        <f aca="false">F36-F38</f>
        <v>0</v>
      </c>
      <c r="G39" s="15" t="n">
        <f aca="false">G36-G38</f>
        <v>0</v>
      </c>
      <c r="H39" s="15" t="n">
        <f aca="false">H36-H38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9" min="6" style="0" width="16"/>
  </cols>
  <sheetData>
    <row r="1" customFormat="false" ht="16.15" hidden="false" customHeight="false" outlineLevel="0" collapsed="false">
      <c r="A1" s="3" t="s">
        <v>73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74</v>
      </c>
      <c r="I3" s="4" t="s">
        <v>22</v>
      </c>
    </row>
    <row r="4" customFormat="false" ht="15" hidden="false" customHeight="false" outlineLevel="0" collapsed="false">
      <c r="A4" s="5" t="n">
        <v>28</v>
      </c>
      <c r="B4" s="2" t="s">
        <v>53</v>
      </c>
      <c r="C4" s="2" t="s">
        <v>75</v>
      </c>
      <c r="D4" s="5" t="n">
        <v>15</v>
      </c>
      <c r="E4" s="6" t="n">
        <v>23.8</v>
      </c>
      <c r="F4" s="7" t="n">
        <v>102027346</v>
      </c>
      <c r="G4" s="7" t="n">
        <v>22865076</v>
      </c>
      <c r="H4" s="7" t="n">
        <v>48509367</v>
      </c>
      <c r="I4" s="7" t="n">
        <v>173401789</v>
      </c>
    </row>
    <row r="5" customFormat="false" ht="15" hidden="false" customHeight="false" outlineLevel="0" collapsed="false">
      <c r="A5" s="5" t="n">
        <v>15</v>
      </c>
      <c r="B5" s="2" t="s">
        <v>60</v>
      </c>
      <c r="C5" s="2" t="s">
        <v>76</v>
      </c>
      <c r="D5" s="5" t="n">
        <v>15</v>
      </c>
      <c r="E5" s="6" t="n">
        <v>25.6</v>
      </c>
      <c r="F5" s="7" t="n">
        <v>137989431</v>
      </c>
      <c r="G5" s="7" t="n">
        <v>5262100</v>
      </c>
      <c r="H5" s="7" t="n">
        <v>46624396</v>
      </c>
      <c r="I5" s="7" t="n">
        <v>189875927</v>
      </c>
    </row>
    <row r="6" customFormat="false" ht="15" hidden="false" customHeight="false" outlineLevel="0" collapsed="false">
      <c r="A6" s="5" t="n">
        <v>1</v>
      </c>
      <c r="B6" s="2" t="s">
        <v>36</v>
      </c>
      <c r="C6" s="2" t="s">
        <v>77</v>
      </c>
      <c r="D6" s="5" t="n">
        <v>15</v>
      </c>
      <c r="E6" s="6" t="n">
        <v>27.3</v>
      </c>
      <c r="F6" s="7" t="n">
        <v>181104094</v>
      </c>
      <c r="G6" s="7" t="n">
        <v>1474424</v>
      </c>
      <c r="H6" s="7" t="n">
        <v>44821974</v>
      </c>
      <c r="I6" s="7" t="n">
        <v>227400492</v>
      </c>
    </row>
    <row r="7" customFormat="false" ht="15" hidden="false" customHeight="false" outlineLevel="0" collapsed="false">
      <c r="A7" s="5" t="n">
        <v>2</v>
      </c>
      <c r="B7" s="2" t="s">
        <v>32</v>
      </c>
      <c r="C7" s="2" t="s">
        <v>78</v>
      </c>
      <c r="D7" s="5" t="n">
        <v>15</v>
      </c>
      <c r="E7" s="6" t="n">
        <v>26</v>
      </c>
      <c r="F7" s="7" t="n">
        <v>171248316</v>
      </c>
      <c r="G7" s="7" t="n">
        <v>6644286</v>
      </c>
      <c r="H7" s="7" t="n">
        <v>42608690</v>
      </c>
      <c r="I7" s="7" t="n">
        <v>220501292</v>
      </c>
    </row>
    <row r="8" customFormat="false" ht="15" hidden="false" customHeight="false" outlineLevel="0" collapsed="false">
      <c r="A8" s="5" t="n">
        <v>8</v>
      </c>
      <c r="B8" s="2" t="s">
        <v>55</v>
      </c>
      <c r="C8" s="2" t="s">
        <v>79</v>
      </c>
      <c r="D8" s="5" t="n">
        <v>15</v>
      </c>
      <c r="E8" s="6" t="n">
        <v>27.5</v>
      </c>
      <c r="F8" s="7" t="n">
        <v>155786780</v>
      </c>
      <c r="G8" s="7" t="n">
        <v>363480</v>
      </c>
      <c r="H8" s="7" t="n">
        <v>42486122</v>
      </c>
      <c r="I8" s="7" t="n">
        <v>198636382</v>
      </c>
    </row>
    <row r="9" customFormat="false" ht="15" hidden="false" customHeight="false" outlineLevel="0" collapsed="false">
      <c r="A9" s="5" t="n">
        <v>23</v>
      </c>
      <c r="B9" s="2" t="s">
        <v>41</v>
      </c>
      <c r="C9" s="2" t="s">
        <v>80</v>
      </c>
      <c r="D9" s="5" t="n">
        <v>15</v>
      </c>
      <c r="E9" s="6" t="n">
        <v>24.7</v>
      </c>
      <c r="F9" s="7" t="n">
        <v>137691448</v>
      </c>
      <c r="G9" s="7" t="n">
        <v>10844750</v>
      </c>
      <c r="H9" s="7" t="n">
        <v>34105304</v>
      </c>
      <c r="I9" s="7" t="n">
        <v>182641502</v>
      </c>
    </row>
    <row r="10" customFormat="false" ht="15" hidden="false" customHeight="false" outlineLevel="0" collapsed="false">
      <c r="A10" s="5" t="n">
        <v>26</v>
      </c>
      <c r="B10" s="2" t="s">
        <v>81</v>
      </c>
      <c r="C10" s="2" t="s">
        <v>82</v>
      </c>
      <c r="D10" s="5" t="n">
        <v>15</v>
      </c>
      <c r="E10" s="6" t="n">
        <v>25.1</v>
      </c>
      <c r="F10" s="7" t="n">
        <v>131172917</v>
      </c>
      <c r="G10" s="7" t="n">
        <v>13015807</v>
      </c>
      <c r="H10" s="7" t="n">
        <v>34085769</v>
      </c>
      <c r="I10" s="7" t="n">
        <v>178274493</v>
      </c>
    </row>
    <row r="11" customFormat="false" ht="15" hidden="false" customHeight="false" outlineLevel="0" collapsed="false">
      <c r="A11" s="5" t="n">
        <v>10</v>
      </c>
      <c r="B11" s="2" t="s">
        <v>83</v>
      </c>
      <c r="C11" s="2" t="s">
        <v>84</v>
      </c>
      <c r="D11" s="5" t="n">
        <v>15</v>
      </c>
      <c r="E11" s="6" t="n">
        <v>26.1</v>
      </c>
      <c r="F11" s="7" t="n">
        <v>172490138</v>
      </c>
      <c r="G11" s="7" t="n">
        <v>582842</v>
      </c>
      <c r="H11" s="7" t="n">
        <v>23853956</v>
      </c>
      <c r="I11" s="7" t="n">
        <v>196926936</v>
      </c>
    </row>
    <row r="12" customFormat="false" ht="15" hidden="false" customHeight="false" outlineLevel="0" collapsed="false">
      <c r="A12" s="5" t="n">
        <v>4</v>
      </c>
      <c r="B12" s="2" t="s">
        <v>85</v>
      </c>
      <c r="C12" s="2" t="s">
        <v>86</v>
      </c>
      <c r="D12" s="5" t="n">
        <v>15</v>
      </c>
      <c r="E12" s="6" t="n">
        <v>28.8</v>
      </c>
      <c r="F12" s="7" t="n">
        <v>184497249</v>
      </c>
      <c r="G12" s="7" t="n">
        <v>529164</v>
      </c>
      <c r="H12" s="7" t="n">
        <v>22366514</v>
      </c>
      <c r="I12" s="7" t="n">
        <v>210019601</v>
      </c>
    </row>
    <row r="13" customFormat="false" ht="15" hidden="false" customHeight="false" outlineLevel="0" collapsed="false">
      <c r="A13" s="5" t="n">
        <v>16</v>
      </c>
      <c r="B13" s="2" t="s">
        <v>87</v>
      </c>
      <c r="C13" s="2" t="s">
        <v>88</v>
      </c>
      <c r="D13" s="5" t="n">
        <v>15</v>
      </c>
      <c r="E13" s="6" t="n">
        <v>27.3</v>
      </c>
      <c r="F13" s="7" t="n">
        <v>176122364</v>
      </c>
      <c r="G13" s="7" t="n">
        <v>495591</v>
      </c>
      <c r="H13" s="7" t="n">
        <v>12923533</v>
      </c>
      <c r="I13" s="7" t="n">
        <v>189541488</v>
      </c>
    </row>
    <row r="14" customFormat="false" ht="15" hidden="false" customHeight="false" outlineLevel="0" collapsed="false">
      <c r="A14" s="5" t="n">
        <v>5</v>
      </c>
      <c r="B14" s="2" t="s">
        <v>25</v>
      </c>
      <c r="C14" s="2" t="s">
        <v>89</v>
      </c>
      <c r="D14" s="5" t="n">
        <v>15</v>
      </c>
      <c r="E14" s="6" t="n">
        <v>26.9</v>
      </c>
      <c r="F14" s="7" t="n">
        <v>190581469</v>
      </c>
      <c r="G14" s="7" t="n">
        <v>808346</v>
      </c>
      <c r="H14" s="7" t="n">
        <v>12024196</v>
      </c>
      <c r="I14" s="7" t="n">
        <v>203414011</v>
      </c>
    </row>
    <row r="15" customFormat="false" ht="15" hidden="false" customHeight="false" outlineLevel="0" collapsed="false">
      <c r="A15" s="5" t="n">
        <v>22</v>
      </c>
      <c r="B15" s="2" t="s">
        <v>48</v>
      </c>
      <c r="C15" s="2" t="s">
        <v>90</v>
      </c>
      <c r="D15" s="5" t="n">
        <v>15</v>
      </c>
      <c r="E15" s="6" t="n">
        <v>26</v>
      </c>
      <c r="F15" s="7" t="n">
        <v>169685984</v>
      </c>
      <c r="G15" s="7" t="n">
        <v>4637120</v>
      </c>
      <c r="H15" s="7" t="n">
        <v>10895370</v>
      </c>
      <c r="I15" s="7" t="n">
        <v>185218474</v>
      </c>
    </row>
    <row r="16" customFormat="false" ht="15" hidden="false" customHeight="false" outlineLevel="0" collapsed="false">
      <c r="A16" s="5" t="n">
        <v>29</v>
      </c>
      <c r="B16" s="2" t="s">
        <v>91</v>
      </c>
      <c r="C16" s="2" t="s">
        <v>88</v>
      </c>
      <c r="D16" s="5" t="n">
        <v>15</v>
      </c>
      <c r="E16" s="6" t="n">
        <v>25.1</v>
      </c>
      <c r="F16" s="7" t="n">
        <v>122387266</v>
      </c>
      <c r="G16" s="7" t="n">
        <v>17400130</v>
      </c>
      <c r="H16" s="7" t="n">
        <v>7850218</v>
      </c>
      <c r="I16" s="7" t="n">
        <v>147637614</v>
      </c>
    </row>
    <row r="17" customFormat="false" ht="15" hidden="false" customHeight="false" outlineLevel="0" collapsed="false">
      <c r="A17" s="5" t="n">
        <v>7</v>
      </c>
      <c r="B17" s="2" t="s">
        <v>92</v>
      </c>
      <c r="C17" s="2" t="s">
        <v>93</v>
      </c>
      <c r="D17" s="5" t="n">
        <v>15</v>
      </c>
      <c r="E17" s="6" t="n">
        <v>26.7</v>
      </c>
      <c r="F17" s="7" t="n">
        <v>190246888</v>
      </c>
      <c r="G17" s="7" t="n">
        <v>1076877</v>
      </c>
      <c r="H17" s="7" t="n">
        <v>7770708</v>
      </c>
      <c r="I17" s="7" t="n">
        <v>199094473</v>
      </c>
    </row>
    <row r="18" customFormat="false" ht="15" hidden="false" customHeight="false" outlineLevel="0" collapsed="false">
      <c r="A18" s="5" t="n">
        <v>25</v>
      </c>
      <c r="B18" s="2" t="s">
        <v>54</v>
      </c>
      <c r="C18" s="2" t="s">
        <v>94</v>
      </c>
      <c r="D18" s="5" t="n">
        <v>15</v>
      </c>
      <c r="E18" s="6" t="n">
        <v>26.4</v>
      </c>
      <c r="F18" s="7" t="n">
        <v>166479170</v>
      </c>
      <c r="G18" s="7" t="n">
        <v>6210275</v>
      </c>
      <c r="H18" s="7" t="n">
        <v>7181386</v>
      </c>
      <c r="I18" s="7" t="n">
        <v>179870831</v>
      </c>
    </row>
    <row r="19" customFormat="false" ht="15" hidden="false" customHeight="false" outlineLevel="0" collapsed="false">
      <c r="A19" s="5" t="n">
        <v>6</v>
      </c>
      <c r="B19" s="2" t="s">
        <v>59</v>
      </c>
      <c r="C19" s="2" t="s">
        <v>95</v>
      </c>
      <c r="D19" s="5" t="n">
        <v>15</v>
      </c>
      <c r="E19" s="6" t="n">
        <v>26.4</v>
      </c>
      <c r="F19" s="7" t="n">
        <v>193913358</v>
      </c>
      <c r="G19" s="7" t="n">
        <v>1647784</v>
      </c>
      <c r="H19" s="7" t="n">
        <v>5485695</v>
      </c>
      <c r="I19" s="7" t="n">
        <v>201046837</v>
      </c>
    </row>
    <row r="20" customFormat="false" ht="15" hidden="false" customHeight="false" outlineLevel="0" collapsed="false">
      <c r="A20" s="5" t="n">
        <v>11</v>
      </c>
      <c r="B20" s="2" t="s">
        <v>96</v>
      </c>
      <c r="C20" s="2" t="s">
        <v>95</v>
      </c>
      <c r="D20" s="5" t="n">
        <v>15</v>
      </c>
      <c r="E20" s="6" t="n">
        <v>24.9</v>
      </c>
      <c r="F20" s="7" t="n">
        <v>188254449</v>
      </c>
      <c r="G20" s="7" t="n">
        <v>636435</v>
      </c>
      <c r="H20" s="7" t="n">
        <v>4893479</v>
      </c>
      <c r="I20" s="7" t="n">
        <v>193784363</v>
      </c>
    </row>
    <row r="21" customFormat="false" ht="15" hidden="false" customHeight="false" outlineLevel="0" collapsed="false">
      <c r="A21" s="5" t="n">
        <v>14</v>
      </c>
      <c r="B21" s="2" t="s">
        <v>97</v>
      </c>
      <c r="C21" s="2" t="s">
        <v>95</v>
      </c>
      <c r="D21" s="5" t="n">
        <v>15</v>
      </c>
      <c r="E21" s="6" t="n">
        <v>25.8</v>
      </c>
      <c r="F21" s="7" t="n">
        <v>161323492</v>
      </c>
      <c r="G21" s="7" t="n">
        <v>24209031</v>
      </c>
      <c r="H21" s="7" t="n">
        <v>4755325</v>
      </c>
      <c r="I21" s="7" t="n">
        <v>190287848</v>
      </c>
    </row>
    <row r="22" customFormat="false" ht="15" hidden="false" customHeight="false" outlineLevel="0" collapsed="false">
      <c r="A22" s="5" t="n">
        <v>13</v>
      </c>
      <c r="B22" s="2" t="s">
        <v>98</v>
      </c>
      <c r="C22" s="2" t="s">
        <v>76</v>
      </c>
      <c r="D22" s="5" t="n">
        <v>15</v>
      </c>
      <c r="E22" s="6" t="n">
        <v>25.2</v>
      </c>
      <c r="F22" s="7" t="n">
        <v>184425980</v>
      </c>
      <c r="G22" s="7" t="n">
        <v>1813382</v>
      </c>
      <c r="H22" s="7" t="n">
        <v>4591308</v>
      </c>
      <c r="I22" s="7" t="n">
        <v>190830670</v>
      </c>
    </row>
    <row r="23" customFormat="false" ht="15" hidden="false" customHeight="false" outlineLevel="0" collapsed="false">
      <c r="A23" s="5" t="n">
        <v>19</v>
      </c>
      <c r="B23" s="2" t="s">
        <v>99</v>
      </c>
      <c r="C23" s="2" t="s">
        <v>100</v>
      </c>
      <c r="D23" s="5" t="n">
        <v>15</v>
      </c>
      <c r="E23" s="6" t="n">
        <v>24.6</v>
      </c>
      <c r="F23" s="7" t="n">
        <v>181465678</v>
      </c>
      <c r="G23" s="7" t="n">
        <v>2298085</v>
      </c>
      <c r="H23" s="7" t="n">
        <v>4063871</v>
      </c>
      <c r="I23" s="7" t="n">
        <v>187827634</v>
      </c>
    </row>
    <row r="24" customFormat="false" ht="15" hidden="false" customHeight="false" outlineLevel="0" collapsed="false">
      <c r="A24" s="5" t="n">
        <v>24</v>
      </c>
      <c r="B24" s="2" t="s">
        <v>101</v>
      </c>
      <c r="C24" s="2" t="s">
        <v>102</v>
      </c>
      <c r="D24" s="5" t="n">
        <v>15</v>
      </c>
      <c r="E24" s="6" t="n">
        <v>27.4</v>
      </c>
      <c r="F24" s="7" t="n">
        <v>148044510</v>
      </c>
      <c r="G24" s="7" t="n">
        <v>28208023</v>
      </c>
      <c r="H24" s="7" t="n">
        <v>3999724</v>
      </c>
      <c r="I24" s="7" t="n">
        <v>180252257</v>
      </c>
    </row>
    <row r="25" customFormat="false" ht="15" hidden="false" customHeight="false" outlineLevel="0" collapsed="false">
      <c r="A25" s="5" t="n">
        <v>3</v>
      </c>
      <c r="B25" s="2" t="s">
        <v>103</v>
      </c>
      <c r="C25" s="2" t="s">
        <v>93</v>
      </c>
      <c r="D25" s="5" t="n">
        <v>15</v>
      </c>
      <c r="E25" s="6" t="n">
        <v>26.1</v>
      </c>
      <c r="F25" s="7" t="n">
        <v>207285880</v>
      </c>
      <c r="G25" s="7" t="n">
        <v>296271</v>
      </c>
      <c r="H25" s="7" t="n">
        <v>3413793</v>
      </c>
      <c r="I25" s="7" t="n">
        <v>210995944</v>
      </c>
    </row>
    <row r="26" customFormat="false" ht="15" hidden="false" customHeight="false" outlineLevel="0" collapsed="false">
      <c r="A26" s="5" t="n">
        <v>20</v>
      </c>
      <c r="B26" s="2" t="s">
        <v>104</v>
      </c>
      <c r="C26" s="2" t="s">
        <v>78</v>
      </c>
      <c r="D26" s="5" t="n">
        <v>15</v>
      </c>
      <c r="E26" s="6" t="n">
        <v>25.1</v>
      </c>
      <c r="F26" s="7" t="n">
        <v>179754695</v>
      </c>
      <c r="G26" s="7" t="n">
        <v>2118673</v>
      </c>
      <c r="H26" s="7" t="n">
        <v>3239339</v>
      </c>
      <c r="I26" s="7" t="n">
        <v>187462285</v>
      </c>
    </row>
    <row r="27" customFormat="false" ht="15" hidden="false" customHeight="false" outlineLevel="0" collapsed="false">
      <c r="A27" s="5" t="n">
        <v>27</v>
      </c>
      <c r="B27" s="2" t="s">
        <v>105</v>
      </c>
      <c r="C27" s="2" t="s">
        <v>106</v>
      </c>
      <c r="D27" s="5" t="n">
        <v>15</v>
      </c>
      <c r="E27" s="6" t="n">
        <v>24.3</v>
      </c>
      <c r="F27" s="7" t="n">
        <v>153328579</v>
      </c>
      <c r="G27" s="7" t="n">
        <v>21725327</v>
      </c>
      <c r="H27" s="7" t="n">
        <v>2254139</v>
      </c>
      <c r="I27" s="7" t="n">
        <v>177308045</v>
      </c>
    </row>
    <row r="28" customFormat="false" ht="15" hidden="false" customHeight="false" outlineLevel="0" collapsed="false">
      <c r="A28" s="5" t="n">
        <v>12</v>
      </c>
      <c r="B28" s="2" t="s">
        <v>34</v>
      </c>
      <c r="C28" s="2" t="s">
        <v>107</v>
      </c>
      <c r="D28" s="5" t="n">
        <v>15</v>
      </c>
      <c r="E28" s="6" t="n">
        <v>26.7</v>
      </c>
      <c r="F28" s="7" t="n">
        <v>189548304</v>
      </c>
      <c r="G28" s="7" t="n">
        <v>636435</v>
      </c>
      <c r="H28" s="7" t="n">
        <v>1821550</v>
      </c>
      <c r="I28" s="7" t="n">
        <v>192006289</v>
      </c>
    </row>
    <row r="29" customFormat="false" ht="15" hidden="false" customHeight="false" outlineLevel="0" collapsed="false">
      <c r="A29" s="5" t="n">
        <v>17</v>
      </c>
      <c r="B29" s="2" t="s">
        <v>108</v>
      </c>
      <c r="C29" s="2" t="s">
        <v>79</v>
      </c>
      <c r="D29" s="5" t="n">
        <v>15</v>
      </c>
      <c r="E29" s="6" t="n">
        <v>25.2</v>
      </c>
      <c r="F29" s="7" t="n">
        <v>158226253</v>
      </c>
      <c r="G29" s="7" t="n">
        <v>28676958</v>
      </c>
      <c r="H29" s="7" t="n">
        <v>1761367</v>
      </c>
      <c r="I29" s="7" t="n">
        <v>188664578</v>
      </c>
    </row>
    <row r="30" customFormat="false" ht="15" hidden="false" customHeight="false" outlineLevel="0" collapsed="false">
      <c r="A30" s="5" t="n">
        <v>9</v>
      </c>
      <c r="B30" s="2" t="s">
        <v>43</v>
      </c>
      <c r="C30" s="2" t="s">
        <v>77</v>
      </c>
      <c r="D30" s="5" t="n">
        <v>15</v>
      </c>
      <c r="E30" s="6" t="n">
        <v>27.8</v>
      </c>
      <c r="F30" s="7" t="n">
        <v>197075354</v>
      </c>
      <c r="G30" s="7" t="n">
        <v>110300</v>
      </c>
      <c r="H30" s="7" t="n">
        <v>1120479</v>
      </c>
      <c r="I30" s="7" t="n">
        <v>198306133</v>
      </c>
    </row>
    <row r="31" customFormat="false" ht="15" hidden="false" customHeight="false" outlineLevel="0" collapsed="false">
      <c r="A31" s="5" t="n">
        <v>18</v>
      </c>
      <c r="B31" s="2" t="s">
        <v>44</v>
      </c>
      <c r="C31" s="2" t="s">
        <v>109</v>
      </c>
      <c r="D31" s="5" t="n">
        <v>15</v>
      </c>
      <c r="E31" s="6" t="n">
        <v>25.2</v>
      </c>
      <c r="F31" s="7" t="n">
        <v>160549396</v>
      </c>
      <c r="G31" s="7" t="n">
        <v>26643031</v>
      </c>
      <c r="H31" s="7" t="n">
        <v>1068041</v>
      </c>
      <c r="I31" s="7" t="n">
        <v>188260468</v>
      </c>
    </row>
    <row r="32" customFormat="false" ht="15" hidden="false" customHeight="false" outlineLevel="0" collapsed="false">
      <c r="A32" s="5" t="n">
        <v>30</v>
      </c>
      <c r="B32" s="2" t="s">
        <v>110</v>
      </c>
      <c r="C32" s="2" t="s">
        <v>111</v>
      </c>
      <c r="D32" s="5" t="n">
        <v>15</v>
      </c>
      <c r="E32" s="6" t="n">
        <v>23.4</v>
      </c>
      <c r="F32" s="7" t="n">
        <v>120814072</v>
      </c>
      <c r="G32" s="7" t="n">
        <v>23499180</v>
      </c>
      <c r="H32" s="7" t="n">
        <v>0</v>
      </c>
      <c r="I32" s="7" t="n">
        <v>144313252</v>
      </c>
    </row>
    <row r="33" customFormat="false" ht="15" hidden="false" customHeight="false" outlineLevel="0" collapsed="false">
      <c r="A33" s="5" t="n">
        <v>21</v>
      </c>
      <c r="B33" s="2" t="s">
        <v>112</v>
      </c>
      <c r="C33" s="2" t="s">
        <v>113</v>
      </c>
      <c r="D33" s="5" t="n">
        <v>15</v>
      </c>
      <c r="E33" s="6" t="n">
        <v>26.6</v>
      </c>
      <c r="F33" s="7" t="n">
        <v>179509527</v>
      </c>
      <c r="G33" s="7" t="n">
        <v>7569181</v>
      </c>
      <c r="H33" s="7" t="n">
        <v>0</v>
      </c>
      <c r="I33" s="7" t="n">
        <v>187078708</v>
      </c>
    </row>
    <row r="34" customFormat="false" ht="15" hidden="false" customHeight="false" outlineLevel="0" collapsed="false">
      <c r="A34" s="8" t="s">
        <v>69</v>
      </c>
      <c r="B34" s="9"/>
      <c r="C34" s="9"/>
      <c r="D34" s="10" t="n">
        <f aca="false">SUM(D4:D33)</f>
        <v>450</v>
      </c>
      <c r="E34" s="9"/>
      <c r="F34" s="11" t="n">
        <f aca="false">SUM(F4:F33)</f>
        <v>4993030387</v>
      </c>
      <c r="G34" s="11" t="n">
        <f aca="false">SUM(G4:G33)</f>
        <v>262298364</v>
      </c>
      <c r="H34" s="11" t="n">
        <f aca="false">SUM(H4:H33)</f>
        <v>440575613</v>
      </c>
      <c r="I34" s="11" t="n">
        <f aca="false">SUM(I4:I33)</f>
        <v>5700880616</v>
      </c>
    </row>
    <row r="35" customFormat="false" ht="15" hidden="false" customHeight="false" outlineLevel="0" collapsed="false">
      <c r="A35" s="8" t="s">
        <v>70</v>
      </c>
      <c r="B35" s="9"/>
      <c r="C35" s="9"/>
      <c r="D35" s="12" t="n">
        <f aca="false">AVERAGE(D4:D33)</f>
        <v>15</v>
      </c>
      <c r="E35" s="12" t="n">
        <f aca="false">AVERAGE(E4:E33)</f>
        <v>25.9333333333333</v>
      </c>
      <c r="F35" s="11" t="n">
        <f aca="false">AVERAGE(F4:F33)</f>
        <v>166434346.233333</v>
      </c>
      <c r="G35" s="11" t="n">
        <f aca="false">AVERAGE(G4:G33)</f>
        <v>8743278.8</v>
      </c>
      <c r="H35" s="11" t="n">
        <f aca="false">AVERAGE(H4:H33)</f>
        <v>14685853.7666667</v>
      </c>
      <c r="I35" s="11" t="n">
        <f aca="false">AVERAGE(I4:I33)</f>
        <v>190029353.866667</v>
      </c>
    </row>
    <row r="36" customFormat="false" ht="15" hidden="false" customHeight="false" outlineLevel="0" collapsed="false">
      <c r="A36" s="13" t="s">
        <v>71</v>
      </c>
      <c r="D36" s="14" t="n">
        <v>450</v>
      </c>
      <c r="F36" s="15" t="n">
        <v>4993030387</v>
      </c>
      <c r="G36" s="15" t="n">
        <v>262298364</v>
      </c>
      <c r="H36" s="15" t="n">
        <v>440575613</v>
      </c>
      <c r="I36" s="15" t="n">
        <v>5700880616</v>
      </c>
    </row>
    <row r="37" customFormat="false" ht="15" hidden="false" customHeight="false" outlineLevel="0" collapsed="false">
      <c r="A37" s="13" t="s">
        <v>72</v>
      </c>
      <c r="D37" s="14" t="n">
        <f aca="false">D34-D36</f>
        <v>0</v>
      </c>
      <c r="F37" s="15" t="n">
        <f aca="false">F34-F36</f>
        <v>0</v>
      </c>
      <c r="G37" s="15" t="n">
        <f aca="false">G34-G36</f>
        <v>0</v>
      </c>
      <c r="H37" s="15" t="n">
        <f aca="false">H34-H36</f>
        <v>0</v>
      </c>
      <c r="I37" s="15" t="n">
        <f aca="false">I34-I36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8" min="6" style="0" width="16"/>
  </cols>
  <sheetData>
    <row r="1" customFormat="false" ht="16.15" hidden="false" customHeight="false" outlineLevel="0" collapsed="false">
      <c r="A1" s="3" t="s">
        <v>114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74</v>
      </c>
      <c r="H3" s="4" t="s">
        <v>22</v>
      </c>
    </row>
    <row r="4" customFormat="false" ht="15" hidden="false" customHeight="false" outlineLevel="0" collapsed="false">
      <c r="A4" s="5" t="n">
        <v>1</v>
      </c>
      <c r="B4" s="2" t="s">
        <v>115</v>
      </c>
      <c r="C4" s="2" t="s">
        <v>116</v>
      </c>
      <c r="D4" s="5" t="n">
        <v>28</v>
      </c>
      <c r="E4" s="6" t="n">
        <v>29.3</v>
      </c>
      <c r="F4" s="7" t="n">
        <v>312899806</v>
      </c>
      <c r="G4" s="7" t="n">
        <v>0</v>
      </c>
      <c r="H4" s="7" t="n">
        <v>400965292</v>
      </c>
    </row>
    <row r="5" customFormat="false" ht="15" hidden="false" customHeight="false" outlineLevel="0" collapsed="false">
      <c r="A5" s="5" t="n">
        <v>2</v>
      </c>
      <c r="B5" s="2" t="s">
        <v>117</v>
      </c>
      <c r="C5" s="2" t="s">
        <v>118</v>
      </c>
      <c r="D5" s="5" t="n">
        <v>27</v>
      </c>
      <c r="E5" s="6" t="n">
        <v>29.6</v>
      </c>
      <c r="F5" s="7" t="n">
        <v>293126821</v>
      </c>
      <c r="G5" s="7" t="n">
        <v>0</v>
      </c>
      <c r="H5" s="7" t="n">
        <v>393082178</v>
      </c>
    </row>
    <row r="6" customFormat="false" ht="15" hidden="false" customHeight="false" outlineLevel="0" collapsed="false">
      <c r="A6" s="5" t="n">
        <v>3</v>
      </c>
      <c r="B6" s="2" t="s">
        <v>119</v>
      </c>
      <c r="C6" s="2" t="s">
        <v>120</v>
      </c>
      <c r="D6" s="5" t="n">
        <v>28</v>
      </c>
      <c r="E6" s="6" t="n">
        <v>29.7</v>
      </c>
      <c r="F6" s="7" t="n">
        <v>205097386</v>
      </c>
      <c r="G6" s="7" t="n">
        <v>15000000</v>
      </c>
      <c r="H6" s="7" t="n">
        <v>318561450</v>
      </c>
    </row>
    <row r="7" customFormat="false" ht="15" hidden="false" customHeight="false" outlineLevel="0" collapsed="false">
      <c r="A7" s="5" t="n">
        <v>4</v>
      </c>
      <c r="B7" s="2" t="s">
        <v>59</v>
      </c>
      <c r="C7" s="2" t="s">
        <v>121</v>
      </c>
      <c r="D7" s="5" t="n">
        <v>27</v>
      </c>
      <c r="E7" s="6" t="n">
        <v>30.3</v>
      </c>
      <c r="F7" s="7" t="n">
        <v>226300409</v>
      </c>
      <c r="G7" s="7" t="n">
        <v>0</v>
      </c>
      <c r="H7" s="7" t="n">
        <v>305208429</v>
      </c>
    </row>
    <row r="8" customFormat="false" ht="15" hidden="false" customHeight="false" outlineLevel="0" collapsed="false">
      <c r="A8" s="5" t="n">
        <v>5</v>
      </c>
      <c r="B8" s="2" t="s">
        <v>98</v>
      </c>
      <c r="C8" s="2" t="s">
        <v>120</v>
      </c>
      <c r="D8" s="5" t="n">
        <v>28</v>
      </c>
      <c r="E8" s="6" t="n">
        <v>28.9</v>
      </c>
      <c r="F8" s="7" t="n">
        <v>179235208</v>
      </c>
      <c r="G8" s="7" t="n">
        <v>0</v>
      </c>
      <c r="H8" s="7" t="n">
        <v>290969111</v>
      </c>
    </row>
    <row r="9" customFormat="false" ht="15" hidden="false" customHeight="false" outlineLevel="0" collapsed="false">
      <c r="A9" s="5" t="n">
        <v>6</v>
      </c>
      <c r="B9" s="2" t="s">
        <v>43</v>
      </c>
      <c r="C9" s="2" t="s">
        <v>122</v>
      </c>
      <c r="D9" s="5" t="n">
        <v>28</v>
      </c>
      <c r="E9" s="6" t="n">
        <v>28.6</v>
      </c>
      <c r="F9" s="7" t="n">
        <v>135180023</v>
      </c>
      <c r="G9" s="7" t="n">
        <v>701520</v>
      </c>
      <c r="H9" s="7" t="n">
        <v>253425770</v>
      </c>
    </row>
    <row r="10" customFormat="false" ht="15" hidden="false" customHeight="false" outlineLevel="0" collapsed="false">
      <c r="A10" s="5" t="n">
        <v>7</v>
      </c>
      <c r="B10" s="2" t="s">
        <v>123</v>
      </c>
      <c r="C10" s="2" t="s">
        <v>124</v>
      </c>
      <c r="D10" s="5" t="n">
        <v>32</v>
      </c>
      <c r="E10" s="6" t="n">
        <v>29.1</v>
      </c>
      <c r="F10" s="7" t="n">
        <v>113977024</v>
      </c>
      <c r="G10" s="7" t="n">
        <v>0</v>
      </c>
      <c r="H10" s="7" t="n">
        <v>251697316</v>
      </c>
    </row>
    <row r="11" customFormat="false" ht="15" hidden="false" customHeight="false" outlineLevel="0" collapsed="false">
      <c r="A11" s="5" t="n">
        <v>8</v>
      </c>
      <c r="B11" s="2" t="s">
        <v>60</v>
      </c>
      <c r="C11" s="2" t="s">
        <v>125</v>
      </c>
      <c r="D11" s="5" t="n">
        <v>28</v>
      </c>
      <c r="E11" s="6" t="n">
        <v>29.5</v>
      </c>
      <c r="F11" s="7" t="n">
        <v>128793102</v>
      </c>
      <c r="G11" s="7" t="n">
        <v>750000</v>
      </c>
      <c r="H11" s="7" t="n">
        <v>234258527</v>
      </c>
    </row>
    <row r="12" customFormat="false" ht="15" hidden="false" customHeight="false" outlineLevel="0" collapsed="false">
      <c r="A12" s="5" t="n">
        <v>9</v>
      </c>
      <c r="B12" s="2" t="s">
        <v>126</v>
      </c>
      <c r="C12" s="2" t="s">
        <v>127</v>
      </c>
      <c r="D12" s="5" t="n">
        <v>28</v>
      </c>
      <c r="E12" s="6" t="n">
        <v>29.3</v>
      </c>
      <c r="F12" s="7" t="n">
        <v>160473830</v>
      </c>
      <c r="G12" s="7" t="n">
        <v>0</v>
      </c>
      <c r="H12" s="7" t="n">
        <v>229731133</v>
      </c>
    </row>
    <row r="13" customFormat="false" ht="15" hidden="false" customHeight="false" outlineLevel="0" collapsed="false">
      <c r="A13" s="5" t="n">
        <v>10</v>
      </c>
      <c r="B13" s="2" t="s">
        <v>128</v>
      </c>
      <c r="C13" s="2" t="s">
        <v>129</v>
      </c>
      <c r="D13" s="5" t="n">
        <v>28</v>
      </c>
      <c r="E13" s="6" t="n">
        <v>29.6</v>
      </c>
      <c r="F13" s="7" t="n">
        <v>173037007</v>
      </c>
      <c r="G13" s="7" t="n">
        <v>750000</v>
      </c>
      <c r="H13" s="7" t="n">
        <v>229356720</v>
      </c>
    </row>
    <row r="14" customFormat="false" ht="15" hidden="false" customHeight="false" outlineLevel="0" collapsed="false">
      <c r="A14" s="5" t="n">
        <v>11</v>
      </c>
      <c r="B14" s="2" t="s">
        <v>130</v>
      </c>
      <c r="C14" s="2" t="s">
        <v>131</v>
      </c>
      <c r="D14" s="5" t="n">
        <v>28</v>
      </c>
      <c r="E14" s="6" t="n">
        <v>27.5</v>
      </c>
      <c r="F14" s="7" t="n">
        <v>97348952</v>
      </c>
      <c r="G14" s="7" t="n">
        <v>0</v>
      </c>
      <c r="H14" s="7" t="n">
        <v>228062125</v>
      </c>
    </row>
    <row r="15" customFormat="false" ht="15" hidden="false" customHeight="false" outlineLevel="0" collapsed="false">
      <c r="A15" s="5" t="n">
        <v>12</v>
      </c>
      <c r="B15" s="2" t="s">
        <v>83</v>
      </c>
      <c r="C15" s="2" t="s">
        <v>132</v>
      </c>
      <c r="D15" s="5" t="n">
        <v>28</v>
      </c>
      <c r="E15" s="6" t="n">
        <v>28.8</v>
      </c>
      <c r="F15" s="7" t="n">
        <v>122765355</v>
      </c>
      <c r="G15" s="7" t="n">
        <v>760000</v>
      </c>
      <c r="H15" s="7" t="n">
        <v>222529601</v>
      </c>
    </row>
    <row r="16" customFormat="false" ht="15" hidden="false" customHeight="false" outlineLevel="0" collapsed="false">
      <c r="A16" s="5" t="n">
        <v>13</v>
      </c>
      <c r="B16" s="2" t="s">
        <v>64</v>
      </c>
      <c r="C16" s="2" t="s">
        <v>133</v>
      </c>
      <c r="D16" s="5" t="n">
        <v>28</v>
      </c>
      <c r="E16" s="6" t="n">
        <v>27.4</v>
      </c>
      <c r="F16" s="7" t="n">
        <v>73085886</v>
      </c>
      <c r="G16" s="7" t="n">
        <v>1500000</v>
      </c>
      <c r="H16" s="7" t="n">
        <v>204349736</v>
      </c>
    </row>
    <row r="17" customFormat="false" ht="15" hidden="false" customHeight="false" outlineLevel="0" collapsed="false">
      <c r="A17" s="5" t="n">
        <v>14</v>
      </c>
      <c r="B17" s="2" t="s">
        <v>29</v>
      </c>
      <c r="C17" s="2" t="s">
        <v>124</v>
      </c>
      <c r="D17" s="5" t="n">
        <v>28</v>
      </c>
      <c r="E17" s="6" t="n">
        <v>28.4</v>
      </c>
      <c r="F17" s="7" t="n">
        <v>142688005</v>
      </c>
      <c r="G17" s="7" t="n">
        <v>0</v>
      </c>
      <c r="H17" s="7" t="n">
        <v>200428481</v>
      </c>
    </row>
    <row r="18" customFormat="false" ht="15" hidden="false" customHeight="false" outlineLevel="0" collapsed="false">
      <c r="A18" s="5" t="n">
        <v>15</v>
      </c>
      <c r="B18" s="2" t="s">
        <v>39</v>
      </c>
      <c r="C18" s="2" t="s">
        <v>134</v>
      </c>
      <c r="D18" s="5" t="n">
        <v>28</v>
      </c>
      <c r="E18" s="6" t="n">
        <v>27.3</v>
      </c>
      <c r="F18" s="7" t="n">
        <v>64226457</v>
      </c>
      <c r="G18" s="7" t="n">
        <v>0</v>
      </c>
      <c r="H18" s="7" t="n">
        <v>196376385</v>
      </c>
    </row>
    <row r="19" customFormat="false" ht="15" hidden="false" customHeight="false" outlineLevel="0" collapsed="false">
      <c r="A19" s="5" t="n">
        <v>16</v>
      </c>
      <c r="B19" s="2" t="s">
        <v>65</v>
      </c>
      <c r="C19" s="2" t="s">
        <v>127</v>
      </c>
      <c r="D19" s="5" t="n">
        <v>28</v>
      </c>
      <c r="E19" s="6" t="n">
        <v>28</v>
      </c>
      <c r="F19" s="7" t="n">
        <v>131472218</v>
      </c>
      <c r="G19" s="7" t="n">
        <v>0</v>
      </c>
      <c r="H19" s="7" t="n">
        <v>191664894</v>
      </c>
    </row>
    <row r="20" customFormat="false" ht="15" hidden="false" customHeight="false" outlineLevel="0" collapsed="false">
      <c r="A20" s="5" t="n">
        <v>17</v>
      </c>
      <c r="B20" s="2" t="s">
        <v>54</v>
      </c>
      <c r="C20" s="2" t="s">
        <v>122</v>
      </c>
      <c r="D20" s="5" t="n">
        <v>28</v>
      </c>
      <c r="E20" s="6" t="n">
        <v>28.5</v>
      </c>
      <c r="F20" s="7" t="n">
        <v>106720780</v>
      </c>
      <c r="G20" s="7" t="n">
        <v>0</v>
      </c>
      <c r="H20" s="7" t="n">
        <v>176924844</v>
      </c>
    </row>
    <row r="21" customFormat="false" ht="15" hidden="false" customHeight="false" outlineLevel="0" collapsed="false">
      <c r="A21" s="5" t="n">
        <v>18</v>
      </c>
      <c r="B21" s="2" t="s">
        <v>135</v>
      </c>
      <c r="C21" s="2" t="s">
        <v>136</v>
      </c>
      <c r="D21" s="5" t="n">
        <v>28</v>
      </c>
      <c r="E21" s="6" t="n">
        <v>27.1</v>
      </c>
      <c r="F21" s="7" t="n">
        <v>85089836</v>
      </c>
      <c r="G21" s="7" t="n">
        <v>0</v>
      </c>
      <c r="H21" s="7" t="n">
        <v>153377987</v>
      </c>
    </row>
    <row r="22" customFormat="false" ht="15" hidden="false" customHeight="false" outlineLevel="0" collapsed="false">
      <c r="A22" s="5" t="n">
        <v>19</v>
      </c>
      <c r="B22" s="2" t="s">
        <v>30</v>
      </c>
      <c r="C22" s="2" t="s">
        <v>137</v>
      </c>
      <c r="D22" s="5" t="n">
        <v>28</v>
      </c>
      <c r="E22" s="6" t="n">
        <v>28.5</v>
      </c>
      <c r="F22" s="7" t="n">
        <v>85396877</v>
      </c>
      <c r="G22" s="7" t="n">
        <v>0</v>
      </c>
      <c r="H22" s="7" t="n">
        <v>151594633</v>
      </c>
    </row>
    <row r="23" customFormat="false" ht="15" hidden="false" customHeight="false" outlineLevel="0" collapsed="false">
      <c r="A23" s="5" t="n">
        <v>20</v>
      </c>
      <c r="B23" s="2" t="s">
        <v>25</v>
      </c>
      <c r="C23" s="2" t="s">
        <v>138</v>
      </c>
      <c r="D23" s="5" t="n">
        <v>28</v>
      </c>
      <c r="E23" s="6" t="n">
        <v>27.8</v>
      </c>
      <c r="F23" s="7" t="n">
        <v>49208783</v>
      </c>
      <c r="G23" s="7" t="n">
        <v>225000</v>
      </c>
      <c r="H23" s="7" t="n">
        <v>150415875</v>
      </c>
    </row>
    <row r="24" customFormat="false" ht="15" hidden="false" customHeight="false" outlineLevel="0" collapsed="false">
      <c r="A24" s="5" t="n">
        <v>21</v>
      </c>
      <c r="B24" s="2" t="s">
        <v>139</v>
      </c>
      <c r="C24" s="2" t="s">
        <v>140</v>
      </c>
      <c r="D24" s="5" t="n">
        <v>28</v>
      </c>
      <c r="E24" s="6" t="n">
        <v>26.1</v>
      </c>
      <c r="F24" s="7" t="n">
        <v>25294554</v>
      </c>
      <c r="G24" s="7" t="n">
        <v>0</v>
      </c>
      <c r="H24" s="7" t="n">
        <v>149257229</v>
      </c>
    </row>
    <row r="25" customFormat="false" ht="15" hidden="false" customHeight="false" outlineLevel="0" collapsed="false">
      <c r="A25" s="5" t="n">
        <v>22</v>
      </c>
      <c r="B25" s="2" t="s">
        <v>141</v>
      </c>
      <c r="C25" s="2" t="s">
        <v>142</v>
      </c>
      <c r="D25" s="5" t="n">
        <v>28</v>
      </c>
      <c r="E25" s="6" t="n">
        <v>26</v>
      </c>
      <c r="F25" s="7" t="n">
        <v>60303466</v>
      </c>
      <c r="G25" s="7" t="n">
        <v>7806460</v>
      </c>
      <c r="H25" s="7" t="n">
        <v>148031167</v>
      </c>
    </row>
    <row r="26" customFormat="false" ht="15" hidden="false" customHeight="false" outlineLevel="0" collapsed="false">
      <c r="A26" s="5" t="n">
        <v>23</v>
      </c>
      <c r="B26" s="2" t="s">
        <v>101</v>
      </c>
      <c r="C26" s="2" t="s">
        <v>143</v>
      </c>
      <c r="D26" s="5" t="n">
        <v>28</v>
      </c>
      <c r="E26" s="6" t="n">
        <v>27.4</v>
      </c>
      <c r="F26" s="7" t="n">
        <v>84095680</v>
      </c>
      <c r="G26" s="7" t="n">
        <v>0</v>
      </c>
      <c r="H26" s="7" t="n">
        <v>139666827</v>
      </c>
    </row>
    <row r="27" customFormat="false" ht="15" hidden="false" customHeight="false" outlineLevel="0" collapsed="false">
      <c r="A27" s="5" t="n">
        <v>24</v>
      </c>
      <c r="B27" s="2" t="s">
        <v>56</v>
      </c>
      <c r="C27" s="2" t="s">
        <v>116</v>
      </c>
      <c r="D27" s="5" t="n">
        <v>28</v>
      </c>
      <c r="E27" s="6" t="n">
        <v>27.6</v>
      </c>
      <c r="F27" s="7" t="n">
        <v>81066742</v>
      </c>
      <c r="G27" s="7" t="n">
        <v>18000000</v>
      </c>
      <c r="H27" s="7" t="n">
        <v>135790853</v>
      </c>
    </row>
    <row r="28" customFormat="false" ht="15" hidden="false" customHeight="false" outlineLevel="0" collapsed="false">
      <c r="A28" s="5" t="n">
        <v>25</v>
      </c>
      <c r="B28" s="2" t="s">
        <v>36</v>
      </c>
      <c r="C28" s="2" t="s">
        <v>144</v>
      </c>
      <c r="D28" s="5" t="n">
        <v>28</v>
      </c>
      <c r="E28" s="6" t="n">
        <v>26.3</v>
      </c>
      <c r="F28" s="7" t="n">
        <v>50354620</v>
      </c>
      <c r="G28" s="7" t="n">
        <v>8321242</v>
      </c>
      <c r="H28" s="7" t="n">
        <v>118369450</v>
      </c>
    </row>
    <row r="29" customFormat="false" ht="15" hidden="false" customHeight="false" outlineLevel="0" collapsed="false">
      <c r="A29" s="5" t="n">
        <v>26</v>
      </c>
      <c r="B29" s="2" t="s">
        <v>145</v>
      </c>
      <c r="C29" s="2" t="s">
        <v>125</v>
      </c>
      <c r="D29" s="5" t="n">
        <v>28</v>
      </c>
      <c r="E29" s="6" t="n">
        <v>26.9</v>
      </c>
      <c r="F29" s="7" t="n">
        <v>64911684</v>
      </c>
      <c r="G29" s="7" t="n">
        <v>0</v>
      </c>
      <c r="H29" s="7" t="n">
        <v>113857137</v>
      </c>
    </row>
    <row r="30" customFormat="false" ht="15" hidden="false" customHeight="false" outlineLevel="0" collapsed="false">
      <c r="A30" s="5" t="n">
        <v>27</v>
      </c>
      <c r="B30" s="2" t="s">
        <v>49</v>
      </c>
      <c r="C30" s="2" t="s">
        <v>146</v>
      </c>
      <c r="D30" s="5" t="n">
        <v>31</v>
      </c>
      <c r="E30" s="6" t="n">
        <v>27</v>
      </c>
      <c r="F30" s="7" t="n">
        <v>51549367</v>
      </c>
      <c r="G30" s="7" t="n">
        <v>0</v>
      </c>
      <c r="H30" s="7" t="n">
        <v>104919138</v>
      </c>
    </row>
    <row r="31" customFormat="false" ht="15" hidden="false" customHeight="false" outlineLevel="0" collapsed="false">
      <c r="A31" s="5" t="n">
        <v>28</v>
      </c>
      <c r="B31" s="2" t="s">
        <v>58</v>
      </c>
      <c r="C31" s="2" t="s">
        <v>147</v>
      </c>
      <c r="D31" s="5" t="n">
        <v>28</v>
      </c>
      <c r="E31" s="6" t="n">
        <v>28</v>
      </c>
      <c r="F31" s="7" t="n">
        <v>41355049</v>
      </c>
      <c r="G31" s="7" t="n">
        <v>0</v>
      </c>
      <c r="H31" s="7" t="n">
        <v>101798243</v>
      </c>
    </row>
    <row r="32" customFormat="false" ht="15" hidden="false" customHeight="false" outlineLevel="0" collapsed="false">
      <c r="A32" s="5" t="n">
        <v>29</v>
      </c>
      <c r="B32" s="2" t="s">
        <v>148</v>
      </c>
      <c r="C32" s="2" t="s">
        <v>149</v>
      </c>
      <c r="D32" s="5" t="n">
        <v>28</v>
      </c>
      <c r="E32" s="6" t="n">
        <v>26.4</v>
      </c>
      <c r="F32" s="7" t="n">
        <v>17295751</v>
      </c>
      <c r="G32" s="7" t="n">
        <v>4667</v>
      </c>
      <c r="H32" s="7" t="n">
        <v>99646763</v>
      </c>
    </row>
    <row r="33" customFormat="false" ht="15" hidden="false" customHeight="false" outlineLevel="0" collapsed="false">
      <c r="A33" s="5" t="n">
        <v>30</v>
      </c>
      <c r="B33" s="2" t="s">
        <v>44</v>
      </c>
      <c r="C33" s="2" t="s">
        <v>150</v>
      </c>
      <c r="D33" s="5" t="n">
        <v>28</v>
      </c>
      <c r="E33" s="6" t="n">
        <v>26.3</v>
      </c>
      <c r="F33" s="7" t="n">
        <v>33912751</v>
      </c>
      <c r="G33" s="7" t="n">
        <v>0</v>
      </c>
      <c r="H33" s="7" t="n">
        <v>90882027</v>
      </c>
    </row>
    <row r="34" customFormat="false" ht="15" hidden="false" customHeight="false" outlineLevel="0" collapsed="false">
      <c r="A34" s="8" t="s">
        <v>69</v>
      </c>
      <c r="B34" s="9"/>
      <c r="C34" s="9"/>
      <c r="D34" s="10" t="n">
        <f aca="false">SUM(D4:D33)</f>
        <v>845</v>
      </c>
      <c r="E34" s="9"/>
      <c r="F34" s="11" t="n">
        <f aca="false">SUM(F4:F33)</f>
        <v>3396263429</v>
      </c>
      <c r="G34" s="11" t="n">
        <f aca="false">SUM(G4:G33)</f>
        <v>53818889</v>
      </c>
      <c r="H34" s="11" t="n">
        <f aca="false">SUM(H4:H33)</f>
        <v>5985199321</v>
      </c>
    </row>
    <row r="35" customFormat="false" ht="15" hidden="false" customHeight="false" outlineLevel="0" collapsed="false">
      <c r="A35" s="8" t="s">
        <v>70</v>
      </c>
      <c r="B35" s="9"/>
      <c r="C35" s="9"/>
      <c r="D35" s="12" t="n">
        <f aca="false">AVERAGE(D4:D33)</f>
        <v>28.1666666666667</v>
      </c>
      <c r="E35" s="12" t="n">
        <f aca="false">AVERAGE(E4:E33)</f>
        <v>28.04</v>
      </c>
      <c r="F35" s="11" t="n">
        <f aca="false">AVERAGE(F4:F33)</f>
        <v>113208780.966667</v>
      </c>
      <c r="G35" s="11" t="n">
        <f aca="false">AVERAGE(G4:G33)</f>
        <v>1793962.96666667</v>
      </c>
      <c r="H35" s="11" t="n">
        <f aca="false">AVERAGE(H4:H33)</f>
        <v>199506644.033333</v>
      </c>
    </row>
    <row r="36" customFormat="false" ht="15" hidden="false" customHeight="false" outlineLevel="0" collapsed="false">
      <c r="A36" s="13" t="s">
        <v>71</v>
      </c>
      <c r="D36" s="14" t="n">
        <v>845</v>
      </c>
      <c r="F36" s="15" t="n">
        <v>3396263429</v>
      </c>
      <c r="G36" s="15" t="n">
        <v>53818889</v>
      </c>
      <c r="H36" s="15" t="n">
        <v>5985199321</v>
      </c>
    </row>
    <row r="37" customFormat="false" ht="15" hidden="false" customHeight="false" outlineLevel="0" collapsed="false">
      <c r="A37" s="13" t="s">
        <v>72</v>
      </c>
      <c r="D37" s="14" t="n">
        <f aca="false">D34-D36</f>
        <v>0</v>
      </c>
      <c r="F37" s="15" t="n">
        <f aca="false">F34-F36</f>
        <v>0</v>
      </c>
      <c r="G37" s="15" t="n">
        <f aca="false">G34-G36</f>
        <v>0</v>
      </c>
      <c r="H37" s="15" t="n">
        <f aca="false">H34-H36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8" min="6" style="0" width="16"/>
  </cols>
  <sheetData>
    <row r="1" customFormat="false" ht="16.15" hidden="false" customHeight="false" outlineLevel="0" collapsed="false">
      <c r="A1" s="3" t="s">
        <v>151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customFormat="false" ht="15" hidden="false" customHeight="false" outlineLevel="0" collapsed="false">
      <c r="A4" s="5" t="n">
        <v>1</v>
      </c>
      <c r="B4" s="2" t="s">
        <v>152</v>
      </c>
      <c r="C4" s="2" t="s">
        <v>153</v>
      </c>
      <c r="D4" s="5" t="n">
        <v>23</v>
      </c>
      <c r="E4" s="6" t="n">
        <v>29.8</v>
      </c>
      <c r="F4" s="7" t="n">
        <v>101600624</v>
      </c>
      <c r="G4" s="7" t="n">
        <v>2104009</v>
      </c>
      <c r="H4" s="7" t="n">
        <v>133395511</v>
      </c>
    </row>
    <row r="5" customFormat="false" ht="15" hidden="false" customHeight="false" outlineLevel="0" collapsed="false">
      <c r="A5" s="5" t="n">
        <v>2</v>
      </c>
      <c r="B5" s="2" t="s">
        <v>32</v>
      </c>
      <c r="C5" s="2" t="s">
        <v>154</v>
      </c>
      <c r="D5" s="5" t="n">
        <v>27</v>
      </c>
      <c r="E5" s="6" t="n">
        <v>28.4</v>
      </c>
      <c r="F5" s="7" t="n">
        <v>100707770</v>
      </c>
      <c r="G5" s="7" t="n">
        <v>1433334</v>
      </c>
      <c r="H5" s="7" t="n">
        <v>125598798</v>
      </c>
    </row>
    <row r="6" customFormat="false" ht="15" hidden="false" customHeight="false" outlineLevel="0" collapsed="false">
      <c r="A6" s="5" t="n">
        <v>3</v>
      </c>
      <c r="B6" s="2" t="s">
        <v>155</v>
      </c>
      <c r="C6" s="2" t="s">
        <v>156</v>
      </c>
      <c r="D6" s="5" t="n">
        <v>24</v>
      </c>
      <c r="E6" s="6" t="n">
        <v>28.4</v>
      </c>
      <c r="F6" s="7" t="n">
        <v>90448072</v>
      </c>
      <c r="G6" s="7" t="n">
        <v>601452</v>
      </c>
      <c r="H6" s="7" t="n">
        <v>125501269</v>
      </c>
    </row>
    <row r="7" customFormat="false" ht="15" hidden="false" customHeight="false" outlineLevel="0" collapsed="false">
      <c r="A7" s="5" t="n">
        <v>4</v>
      </c>
      <c r="B7" s="2" t="s">
        <v>157</v>
      </c>
      <c r="C7" s="2" t="s">
        <v>158</v>
      </c>
      <c r="D7" s="5" t="n">
        <v>25</v>
      </c>
      <c r="E7" s="6" t="n">
        <v>26.6</v>
      </c>
      <c r="F7" s="7" t="n">
        <v>91348001</v>
      </c>
      <c r="G7" s="7" t="n">
        <v>18351173</v>
      </c>
      <c r="H7" s="7" t="n">
        <v>125261143</v>
      </c>
    </row>
    <row r="8" customFormat="false" ht="15" hidden="false" customHeight="false" outlineLevel="0" collapsed="false">
      <c r="A8" s="5" t="n">
        <v>5</v>
      </c>
      <c r="B8" s="2" t="s">
        <v>159</v>
      </c>
      <c r="C8" s="2" t="s">
        <v>160</v>
      </c>
      <c r="D8" s="5" t="n">
        <v>22</v>
      </c>
      <c r="E8" s="6" t="n">
        <v>28.6</v>
      </c>
      <c r="F8" s="7" t="n">
        <v>99961339</v>
      </c>
      <c r="G8" s="7" t="n">
        <v>5636849</v>
      </c>
      <c r="H8" s="7" t="n">
        <v>124921549</v>
      </c>
    </row>
    <row r="9" customFormat="false" ht="15" hidden="false" customHeight="false" outlineLevel="0" collapsed="false">
      <c r="A9" s="5" t="n">
        <v>6</v>
      </c>
      <c r="B9" s="2" t="s">
        <v>161</v>
      </c>
      <c r="C9" s="2" t="s">
        <v>162</v>
      </c>
      <c r="D9" s="5" t="n">
        <v>26</v>
      </c>
      <c r="E9" s="6" t="n">
        <v>29.1</v>
      </c>
      <c r="F9" s="7" t="n">
        <v>92885918</v>
      </c>
      <c r="G9" s="7" t="n">
        <v>2916331</v>
      </c>
      <c r="H9" s="7" t="n">
        <v>121549469</v>
      </c>
    </row>
    <row r="10" customFormat="false" ht="15" hidden="false" customHeight="false" outlineLevel="0" collapsed="false">
      <c r="A10" s="5" t="n">
        <v>7</v>
      </c>
      <c r="B10" s="2" t="s">
        <v>135</v>
      </c>
      <c r="C10" s="2" t="s">
        <v>163</v>
      </c>
      <c r="D10" s="5" t="n">
        <v>23</v>
      </c>
      <c r="E10" s="6" t="n">
        <v>26.9</v>
      </c>
      <c r="F10" s="7" t="n">
        <v>79068248</v>
      </c>
      <c r="G10" s="7" t="n">
        <v>12860009</v>
      </c>
      <c r="H10" s="7" t="n">
        <v>116684640</v>
      </c>
    </row>
    <row r="11" customFormat="false" ht="15" hidden="false" customHeight="false" outlineLevel="0" collapsed="false">
      <c r="A11" s="5" t="n">
        <v>8</v>
      </c>
      <c r="B11" s="2" t="s">
        <v>98</v>
      </c>
      <c r="C11" s="2" t="s">
        <v>164</v>
      </c>
      <c r="D11" s="5" t="n">
        <v>26</v>
      </c>
      <c r="E11" s="6" t="n">
        <v>27.7</v>
      </c>
      <c r="F11" s="7" t="n">
        <v>93137024</v>
      </c>
      <c r="G11" s="7" t="n">
        <v>5452209</v>
      </c>
      <c r="H11" s="7" t="n">
        <v>115537009</v>
      </c>
    </row>
    <row r="12" customFormat="false" ht="15" hidden="false" customHeight="false" outlineLevel="0" collapsed="false">
      <c r="A12" s="5" t="n">
        <v>9</v>
      </c>
      <c r="B12" s="2" t="s">
        <v>165</v>
      </c>
      <c r="C12" s="2" t="s">
        <v>166</v>
      </c>
      <c r="D12" s="5" t="n">
        <v>26</v>
      </c>
      <c r="E12" s="6" t="n">
        <v>25.6</v>
      </c>
      <c r="F12" s="7" t="n">
        <v>96454012</v>
      </c>
      <c r="G12" s="7" t="n">
        <v>0</v>
      </c>
      <c r="H12" s="7" t="n">
        <v>115426722</v>
      </c>
    </row>
    <row r="13" customFormat="false" ht="15" hidden="false" customHeight="false" outlineLevel="0" collapsed="false">
      <c r="A13" s="5" t="n">
        <v>10</v>
      </c>
      <c r="B13" s="2" t="s">
        <v>83</v>
      </c>
      <c r="C13" s="2" t="s">
        <v>167</v>
      </c>
      <c r="D13" s="5" t="n">
        <v>25</v>
      </c>
      <c r="E13" s="6" t="n">
        <v>27.2</v>
      </c>
      <c r="F13" s="7" t="n">
        <v>102824344</v>
      </c>
      <c r="G13" s="7" t="n">
        <v>749869</v>
      </c>
      <c r="H13" s="7" t="n">
        <v>114854894</v>
      </c>
    </row>
    <row r="14" customFormat="false" ht="15" hidden="false" customHeight="false" outlineLevel="0" collapsed="false">
      <c r="A14" s="5" t="n">
        <v>11</v>
      </c>
      <c r="B14" s="2" t="s">
        <v>168</v>
      </c>
      <c r="C14" s="2" t="s">
        <v>169</v>
      </c>
      <c r="D14" s="5" t="n">
        <v>24</v>
      </c>
      <c r="E14" s="6" t="n">
        <v>28.3</v>
      </c>
      <c r="F14" s="7" t="n">
        <v>75529020</v>
      </c>
      <c r="G14" s="7" t="n">
        <v>5104896</v>
      </c>
      <c r="H14" s="7" t="n">
        <v>114216609</v>
      </c>
    </row>
    <row r="15" customFormat="false" ht="15" hidden="false" customHeight="false" outlineLevel="0" collapsed="false">
      <c r="A15" s="5" t="n">
        <v>12</v>
      </c>
      <c r="B15" s="2" t="s">
        <v>91</v>
      </c>
      <c r="C15" s="2" t="s">
        <v>170</v>
      </c>
      <c r="D15" s="5" t="n">
        <v>26</v>
      </c>
      <c r="E15" s="6" t="n">
        <v>28</v>
      </c>
      <c r="F15" s="7" t="n">
        <v>96098943</v>
      </c>
      <c r="G15" s="7" t="n">
        <v>3906146</v>
      </c>
      <c r="H15" s="7" t="n">
        <v>113919568</v>
      </c>
    </row>
    <row r="16" customFormat="false" ht="15" hidden="false" customHeight="false" outlineLevel="0" collapsed="false">
      <c r="A16" s="5" t="n">
        <v>13</v>
      </c>
      <c r="B16" s="2" t="s">
        <v>53</v>
      </c>
      <c r="C16" s="2" t="s">
        <v>171</v>
      </c>
      <c r="D16" s="5" t="n">
        <v>24</v>
      </c>
      <c r="E16" s="6" t="n">
        <v>28</v>
      </c>
      <c r="F16" s="7" t="n">
        <v>86162576</v>
      </c>
      <c r="G16" s="7" t="n">
        <v>7939234</v>
      </c>
      <c r="H16" s="7" t="n">
        <v>113644976</v>
      </c>
    </row>
    <row r="17" customFormat="false" ht="15" hidden="false" customHeight="false" outlineLevel="0" collapsed="false">
      <c r="A17" s="5" t="n">
        <v>14</v>
      </c>
      <c r="B17" s="2" t="s">
        <v>57</v>
      </c>
      <c r="C17" s="2" t="s">
        <v>172</v>
      </c>
      <c r="D17" s="5" t="n">
        <v>24</v>
      </c>
      <c r="E17" s="6" t="n">
        <v>29.1</v>
      </c>
      <c r="F17" s="7" t="n">
        <v>97048146</v>
      </c>
      <c r="G17" s="7" t="n">
        <v>48437</v>
      </c>
      <c r="H17" s="7" t="n">
        <v>110771126</v>
      </c>
    </row>
    <row r="18" customFormat="false" ht="15" hidden="false" customHeight="false" outlineLevel="0" collapsed="false">
      <c r="A18" s="5" t="n">
        <v>15</v>
      </c>
      <c r="B18" s="2" t="s">
        <v>59</v>
      </c>
      <c r="C18" s="2" t="s">
        <v>173</v>
      </c>
      <c r="D18" s="5" t="n">
        <v>27</v>
      </c>
      <c r="E18" s="6" t="n">
        <v>27</v>
      </c>
      <c r="F18" s="7" t="n">
        <v>83455473</v>
      </c>
      <c r="G18" s="7" t="n">
        <v>6448413</v>
      </c>
      <c r="H18" s="7" t="n">
        <v>110753981</v>
      </c>
    </row>
    <row r="19" customFormat="false" ht="15" hidden="false" customHeight="false" outlineLevel="0" collapsed="false">
      <c r="A19" s="5" t="n">
        <v>16</v>
      </c>
      <c r="B19" s="2" t="s">
        <v>141</v>
      </c>
      <c r="C19" s="2" t="s">
        <v>174</v>
      </c>
      <c r="D19" s="5" t="n">
        <v>25</v>
      </c>
      <c r="E19" s="6" t="n">
        <v>29.7</v>
      </c>
      <c r="F19" s="7" t="n">
        <v>95011416</v>
      </c>
      <c r="G19" s="7" t="n">
        <v>5300135</v>
      </c>
      <c r="H19" s="7" t="n">
        <v>110582954</v>
      </c>
    </row>
    <row r="20" customFormat="false" ht="15" hidden="false" customHeight="false" outlineLevel="0" collapsed="false">
      <c r="A20" s="5" t="n">
        <v>17</v>
      </c>
      <c r="B20" s="2" t="s">
        <v>175</v>
      </c>
      <c r="C20" s="2" t="s">
        <v>176</v>
      </c>
      <c r="D20" s="5" t="n">
        <v>24</v>
      </c>
      <c r="E20" s="6" t="n">
        <v>25.5</v>
      </c>
      <c r="F20" s="7" t="n">
        <v>71587187</v>
      </c>
      <c r="G20" s="7" t="n">
        <v>14306080</v>
      </c>
      <c r="H20" s="7" t="n">
        <v>110425945</v>
      </c>
    </row>
    <row r="21" customFormat="false" ht="15" hidden="false" customHeight="false" outlineLevel="0" collapsed="false">
      <c r="A21" s="5" t="n">
        <v>18</v>
      </c>
      <c r="B21" s="2" t="s">
        <v>65</v>
      </c>
      <c r="C21" s="2" t="s">
        <v>177</v>
      </c>
      <c r="D21" s="5" t="n">
        <v>27</v>
      </c>
      <c r="E21" s="6" t="n">
        <v>27.6</v>
      </c>
      <c r="F21" s="7" t="n">
        <v>86236916</v>
      </c>
      <c r="G21" s="7" t="n">
        <v>5940365</v>
      </c>
      <c r="H21" s="7" t="n">
        <v>110065869</v>
      </c>
    </row>
    <row r="22" customFormat="false" ht="15" hidden="false" customHeight="false" outlineLevel="0" collapsed="false">
      <c r="A22" s="5" t="n">
        <v>19</v>
      </c>
      <c r="B22" s="2" t="s">
        <v>178</v>
      </c>
      <c r="C22" s="2" t="s">
        <v>179</v>
      </c>
      <c r="D22" s="5" t="n">
        <v>22</v>
      </c>
      <c r="E22" s="6" t="n">
        <v>29.3</v>
      </c>
      <c r="F22" s="7" t="n">
        <v>71210892</v>
      </c>
      <c r="G22" s="7" t="n">
        <v>4449232</v>
      </c>
      <c r="H22" s="7" t="n">
        <v>110065644</v>
      </c>
    </row>
    <row r="23" customFormat="false" ht="15" hidden="false" customHeight="false" outlineLevel="0" collapsed="false">
      <c r="A23" s="5" t="n">
        <v>20</v>
      </c>
      <c r="B23" s="2" t="s">
        <v>25</v>
      </c>
      <c r="C23" s="2" t="s">
        <v>180</v>
      </c>
      <c r="D23" s="5" t="n">
        <v>27</v>
      </c>
      <c r="E23" s="6" t="n">
        <v>29.6</v>
      </c>
      <c r="F23" s="7" t="n">
        <v>92079668</v>
      </c>
      <c r="G23" s="7" t="n">
        <v>5054574</v>
      </c>
      <c r="H23" s="7" t="n">
        <v>109575022</v>
      </c>
    </row>
    <row r="24" customFormat="false" ht="15" hidden="false" customHeight="false" outlineLevel="0" collapsed="false">
      <c r="A24" s="5" t="n">
        <v>21</v>
      </c>
      <c r="B24" s="2" t="s">
        <v>27</v>
      </c>
      <c r="C24" s="2" t="s">
        <v>181</v>
      </c>
      <c r="D24" s="5" t="n">
        <v>28</v>
      </c>
      <c r="E24" s="6" t="n">
        <v>26.8</v>
      </c>
      <c r="F24" s="7" t="n">
        <v>88513081</v>
      </c>
      <c r="G24" s="7" t="n">
        <v>4195436</v>
      </c>
      <c r="H24" s="7" t="n">
        <v>106803819</v>
      </c>
    </row>
    <row r="25" customFormat="false" ht="15" hidden="false" customHeight="false" outlineLevel="0" collapsed="false">
      <c r="A25" s="5" t="n">
        <v>22</v>
      </c>
      <c r="B25" s="2" t="s">
        <v>182</v>
      </c>
      <c r="C25" s="2" t="s">
        <v>183</v>
      </c>
      <c r="D25" s="5" t="n">
        <v>27</v>
      </c>
      <c r="E25" s="6" t="n">
        <v>28.3</v>
      </c>
      <c r="F25" s="7" t="n">
        <v>92514360</v>
      </c>
      <c r="G25" s="7" t="n">
        <v>4113020</v>
      </c>
      <c r="H25" s="7" t="n">
        <v>104553554</v>
      </c>
    </row>
    <row r="26" customFormat="false" ht="15" hidden="false" customHeight="false" outlineLevel="0" collapsed="false">
      <c r="A26" s="5" t="n">
        <v>23</v>
      </c>
      <c r="B26" s="2" t="s">
        <v>184</v>
      </c>
      <c r="C26" s="2" t="s">
        <v>185</v>
      </c>
      <c r="D26" s="5" t="n">
        <v>23</v>
      </c>
      <c r="E26" s="6" t="n">
        <v>29.3</v>
      </c>
      <c r="F26" s="7" t="n">
        <v>69170542</v>
      </c>
      <c r="G26" s="7" t="n">
        <v>6883832</v>
      </c>
      <c r="H26" s="7" t="n">
        <v>103008740</v>
      </c>
    </row>
    <row r="27" customFormat="false" ht="15" hidden="false" customHeight="false" outlineLevel="0" collapsed="false">
      <c r="A27" s="5" t="n">
        <v>24</v>
      </c>
      <c r="B27" s="2" t="s">
        <v>186</v>
      </c>
      <c r="C27" s="2" t="s">
        <v>187</v>
      </c>
      <c r="D27" s="5" t="n">
        <v>27</v>
      </c>
      <c r="E27" s="6" t="n">
        <v>28.6</v>
      </c>
      <c r="F27" s="7" t="n">
        <v>86266048</v>
      </c>
      <c r="G27" s="7" t="n">
        <v>5711061</v>
      </c>
      <c r="H27" s="7" t="n">
        <v>102691761</v>
      </c>
    </row>
    <row r="28" customFormat="false" ht="15" hidden="false" customHeight="false" outlineLevel="0" collapsed="false">
      <c r="A28" s="5" t="n">
        <v>25</v>
      </c>
      <c r="B28" s="2" t="s">
        <v>49</v>
      </c>
      <c r="C28" s="2" t="s">
        <v>188</v>
      </c>
      <c r="D28" s="5" t="n">
        <v>26</v>
      </c>
      <c r="E28" s="6" t="n">
        <v>29</v>
      </c>
      <c r="F28" s="7" t="n">
        <v>73070045</v>
      </c>
      <c r="G28" s="7" t="n">
        <v>13913800</v>
      </c>
      <c r="H28" s="7" t="n">
        <v>102436989</v>
      </c>
    </row>
    <row r="29" customFormat="false" ht="15" hidden="false" customHeight="false" outlineLevel="0" collapsed="false">
      <c r="A29" s="5" t="n">
        <v>26</v>
      </c>
      <c r="B29" s="2" t="s">
        <v>189</v>
      </c>
      <c r="C29" s="2" t="s">
        <v>190</v>
      </c>
      <c r="D29" s="5" t="n">
        <v>24</v>
      </c>
      <c r="E29" s="6" t="n">
        <v>27.5</v>
      </c>
      <c r="F29" s="7" t="n">
        <v>80873750</v>
      </c>
      <c r="G29" s="7" t="n">
        <v>2332813</v>
      </c>
      <c r="H29" s="7" t="n">
        <v>101303657</v>
      </c>
    </row>
    <row r="30" customFormat="false" ht="15" hidden="false" customHeight="false" outlineLevel="0" collapsed="false">
      <c r="A30" s="5" t="n">
        <v>27</v>
      </c>
      <c r="B30" s="2" t="s">
        <v>191</v>
      </c>
      <c r="C30" s="2" t="s">
        <v>192</v>
      </c>
      <c r="D30" s="5" t="n">
        <v>25</v>
      </c>
      <c r="E30" s="6" t="n">
        <v>26.9</v>
      </c>
      <c r="F30" s="7" t="n">
        <v>80103644</v>
      </c>
      <c r="G30" s="7" t="n">
        <v>5901148</v>
      </c>
      <c r="H30" s="7" t="n">
        <v>100277263</v>
      </c>
    </row>
    <row r="31" customFormat="false" ht="15" hidden="false" customHeight="false" outlineLevel="0" collapsed="false">
      <c r="A31" s="5" t="n">
        <v>28</v>
      </c>
      <c r="B31" s="2" t="s">
        <v>193</v>
      </c>
      <c r="C31" s="2" t="s">
        <v>194</v>
      </c>
      <c r="D31" s="5" t="n">
        <v>26</v>
      </c>
      <c r="E31" s="6" t="n">
        <v>26.5</v>
      </c>
      <c r="F31" s="7" t="n">
        <v>55712518</v>
      </c>
      <c r="G31" s="7" t="n">
        <v>15573794</v>
      </c>
      <c r="H31" s="7" t="n">
        <v>98979900</v>
      </c>
    </row>
    <row r="32" customFormat="false" ht="15" hidden="false" customHeight="false" outlineLevel="0" collapsed="false">
      <c r="A32" s="5" t="n">
        <v>29</v>
      </c>
      <c r="B32" s="2" t="s">
        <v>54</v>
      </c>
      <c r="C32" s="2" t="s">
        <v>195</v>
      </c>
      <c r="D32" s="5" t="n">
        <v>21</v>
      </c>
      <c r="E32" s="6" t="n">
        <v>29.3</v>
      </c>
      <c r="F32" s="7" t="n">
        <v>76190215</v>
      </c>
      <c r="G32" s="7" t="n">
        <v>4363644</v>
      </c>
      <c r="H32" s="7" t="n">
        <v>98516873</v>
      </c>
    </row>
    <row r="33" customFormat="false" ht="15" hidden="false" customHeight="false" outlineLevel="0" collapsed="false">
      <c r="A33" s="5" t="n">
        <v>30</v>
      </c>
      <c r="B33" s="2" t="s">
        <v>196</v>
      </c>
      <c r="C33" s="2" t="s">
        <v>158</v>
      </c>
      <c r="D33" s="5" t="n">
        <v>28</v>
      </c>
      <c r="E33" s="6" t="n">
        <v>26</v>
      </c>
      <c r="F33" s="7" t="n">
        <v>58110090</v>
      </c>
      <c r="G33" s="7" t="n">
        <v>11756247</v>
      </c>
      <c r="H33" s="7" t="n">
        <v>95839290</v>
      </c>
    </row>
    <row r="34" customFormat="false" ht="15" hidden="false" customHeight="false" outlineLevel="0" collapsed="false">
      <c r="A34" s="5" t="n">
        <v>31</v>
      </c>
      <c r="B34" s="2" t="s">
        <v>197</v>
      </c>
      <c r="C34" s="2" t="s">
        <v>198</v>
      </c>
      <c r="D34" s="5" t="n">
        <v>26</v>
      </c>
      <c r="E34" s="6" t="n">
        <v>27.1</v>
      </c>
      <c r="F34" s="7" t="n">
        <v>66914276</v>
      </c>
      <c r="G34" s="7" t="n">
        <v>3906236</v>
      </c>
      <c r="H34" s="7" t="n">
        <v>87347928</v>
      </c>
    </row>
    <row r="35" customFormat="false" ht="15" hidden="false" customHeight="false" outlineLevel="0" collapsed="false">
      <c r="A35" s="5" t="n">
        <v>32</v>
      </c>
      <c r="B35" s="2" t="s">
        <v>41</v>
      </c>
      <c r="C35" s="2" t="s">
        <v>199</v>
      </c>
      <c r="D35" s="5" t="n">
        <v>26</v>
      </c>
      <c r="E35" s="6" t="n">
        <v>25</v>
      </c>
      <c r="F35" s="7" t="n">
        <v>54008407</v>
      </c>
      <c r="G35" s="7" t="n">
        <v>15077728</v>
      </c>
      <c r="H35" s="7" t="n">
        <v>86426799</v>
      </c>
    </row>
    <row r="36" customFormat="false" ht="15" hidden="false" customHeight="false" outlineLevel="0" collapsed="false">
      <c r="A36" s="8" t="s">
        <v>69</v>
      </c>
      <c r="B36" s="9"/>
      <c r="C36" s="9"/>
      <c r="D36" s="10" t="n">
        <f aca="false">SUM(D4:D35)</f>
        <v>804</v>
      </c>
      <c r="E36" s="9"/>
      <c r="F36" s="11" t="n">
        <f aca="false">SUM(F4:F35)</f>
        <v>2684302565</v>
      </c>
      <c r="G36" s="11" t="n">
        <f aca="false">SUM(G4:G35)</f>
        <v>202331506</v>
      </c>
      <c r="H36" s="11" t="n">
        <f aca="false">SUM(H4:H35)</f>
        <v>3520939271</v>
      </c>
    </row>
    <row r="37" customFormat="false" ht="15" hidden="false" customHeight="false" outlineLevel="0" collapsed="false">
      <c r="A37" s="8" t="s">
        <v>70</v>
      </c>
      <c r="B37" s="9"/>
      <c r="C37" s="9"/>
      <c r="D37" s="12" t="n">
        <f aca="false">AVERAGE(D4:D35)</f>
        <v>25.125</v>
      </c>
      <c r="E37" s="12" t="n">
        <f aca="false">AVERAGE(E4:E35)</f>
        <v>27.834375</v>
      </c>
      <c r="F37" s="11" t="n">
        <f aca="false">AVERAGE(F4:F35)</f>
        <v>83884455.15625</v>
      </c>
      <c r="G37" s="11" t="n">
        <f aca="false">AVERAGE(G4:G35)</f>
        <v>6322859.5625</v>
      </c>
      <c r="H37" s="11" t="n">
        <f aca="false">AVERAGE(H4:H35)</f>
        <v>110029352.21875</v>
      </c>
    </row>
    <row r="38" customFormat="false" ht="15" hidden="false" customHeight="false" outlineLevel="0" collapsed="false">
      <c r="A38" s="13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8" min="6" style="0" width="16"/>
  </cols>
  <sheetData>
    <row r="1" customFormat="false" ht="16.15" hidden="false" customHeight="false" outlineLevel="0" collapsed="false">
      <c r="A1" s="3" t="s">
        <v>201</v>
      </c>
    </row>
    <row r="3" customFormat="false" ht="39.55" hidden="false" customHeight="false" outlineLevel="0" collapsed="false">
      <c r="A3" s="4" t="s">
        <v>15</v>
      </c>
      <c r="B3" s="4" t="s">
        <v>16</v>
      </c>
      <c r="C3" s="4" t="s">
        <v>202</v>
      </c>
      <c r="D3" s="4" t="s">
        <v>19</v>
      </c>
      <c r="E3" s="4" t="s">
        <v>203</v>
      </c>
      <c r="F3" s="4" t="s">
        <v>204</v>
      </c>
      <c r="G3" s="4" t="s">
        <v>205</v>
      </c>
      <c r="H3" s="4" t="s">
        <v>21</v>
      </c>
    </row>
    <row r="4" customFormat="false" ht="15" hidden="false" customHeight="false" outlineLevel="0" collapsed="false">
      <c r="A4" s="5" t="n">
        <v>1</v>
      </c>
      <c r="B4" s="2" t="s">
        <v>44</v>
      </c>
      <c r="C4" s="5" t="n">
        <v>19</v>
      </c>
      <c r="D4" s="6" t="n">
        <v>28.6</v>
      </c>
      <c r="E4" s="7" t="n">
        <v>50466498</v>
      </c>
      <c r="F4" s="7" t="n">
        <v>48613985</v>
      </c>
      <c r="G4" s="7"/>
      <c r="H4" s="7"/>
    </row>
    <row r="5" customFormat="false" ht="15" hidden="false" customHeight="false" outlineLevel="0" collapsed="false">
      <c r="A5" s="5" t="n">
        <v>2</v>
      </c>
      <c r="B5" s="2" t="s">
        <v>206</v>
      </c>
      <c r="C5" s="5" t="n">
        <v>23</v>
      </c>
      <c r="D5" s="6" t="n">
        <v>28.3</v>
      </c>
      <c r="E5" s="7" t="n">
        <v>37853315</v>
      </c>
      <c r="F5" s="7" t="n">
        <v>31215102</v>
      </c>
      <c r="G5" s="7"/>
      <c r="H5" s="7" t="n">
        <v>4925000</v>
      </c>
    </row>
    <row r="6" customFormat="false" ht="15" hidden="false" customHeight="false" outlineLevel="0" collapsed="false">
      <c r="A6" s="5" t="n">
        <v>3</v>
      </c>
      <c r="B6" s="2" t="s">
        <v>98</v>
      </c>
      <c r="C6" s="5" t="n">
        <v>16</v>
      </c>
      <c r="D6" s="6" t="n">
        <v>27.9</v>
      </c>
      <c r="E6" s="7" t="n">
        <v>34008467</v>
      </c>
      <c r="F6" s="7" t="n">
        <v>10474222</v>
      </c>
      <c r="G6" s="7"/>
      <c r="H6" s="7" t="n">
        <v>21695381</v>
      </c>
    </row>
    <row r="7" customFormat="false" ht="15" hidden="false" customHeight="false" outlineLevel="0" collapsed="false">
      <c r="A7" s="5" t="n">
        <v>4</v>
      </c>
      <c r="B7" s="2" t="s">
        <v>60</v>
      </c>
      <c r="C7" s="5" t="n">
        <v>17</v>
      </c>
      <c r="D7" s="6" t="n">
        <v>29.5</v>
      </c>
      <c r="E7" s="7" t="n">
        <v>31683490</v>
      </c>
      <c r="F7" s="7" t="n">
        <v>27310788</v>
      </c>
      <c r="G7" s="7"/>
      <c r="H7" s="7" t="n">
        <v>2809226</v>
      </c>
    </row>
    <row r="8" customFormat="false" ht="15" hidden="false" customHeight="false" outlineLevel="0" collapsed="false">
      <c r="A8" s="5" t="n">
        <v>5</v>
      </c>
      <c r="B8" s="2" t="s">
        <v>41</v>
      </c>
      <c r="C8" s="5" t="n">
        <v>21</v>
      </c>
      <c r="D8" s="6" t="n">
        <v>26.5</v>
      </c>
      <c r="E8" s="7" t="n">
        <v>23612240</v>
      </c>
      <c r="F8" s="7" t="n">
        <v>21577134</v>
      </c>
      <c r="G8" s="7"/>
      <c r="H8" s="7"/>
    </row>
    <row r="9" customFormat="false" ht="15" hidden="false" customHeight="false" outlineLevel="0" collapsed="false">
      <c r="A9" s="5" t="n">
        <v>6</v>
      </c>
      <c r="B9" s="2" t="s">
        <v>56</v>
      </c>
      <c r="C9" s="5" t="n">
        <v>21</v>
      </c>
      <c r="D9" s="6" t="n">
        <v>26.4</v>
      </c>
      <c r="E9" s="7" t="n">
        <v>23141791</v>
      </c>
      <c r="F9" s="7" t="n">
        <v>22006138</v>
      </c>
      <c r="G9" s="7"/>
      <c r="H9" s="7"/>
    </row>
    <row r="10" customFormat="false" ht="15" hidden="false" customHeight="false" outlineLevel="0" collapsed="false">
      <c r="A10" s="5" t="n">
        <v>7</v>
      </c>
      <c r="B10" s="2" t="s">
        <v>207</v>
      </c>
      <c r="C10" s="5" t="n">
        <v>22</v>
      </c>
      <c r="D10" s="6" t="n">
        <v>26.3</v>
      </c>
      <c r="E10" s="7" t="n">
        <v>23126873</v>
      </c>
      <c r="F10" s="7" t="n">
        <v>20175301</v>
      </c>
      <c r="G10" s="7"/>
      <c r="H10" s="7"/>
    </row>
    <row r="11" customFormat="false" ht="15" hidden="false" customHeight="false" outlineLevel="0" collapsed="false">
      <c r="A11" s="5" t="n">
        <v>8</v>
      </c>
      <c r="B11" s="2" t="s">
        <v>108</v>
      </c>
      <c r="C11" s="5" t="n">
        <v>21</v>
      </c>
      <c r="D11" s="6" t="n">
        <v>27.6</v>
      </c>
      <c r="E11" s="7" t="n">
        <v>23024220</v>
      </c>
      <c r="F11" s="7" t="n">
        <v>20966899</v>
      </c>
      <c r="G11" s="7"/>
      <c r="H11" s="7" t="n">
        <v>730313</v>
      </c>
    </row>
    <row r="12" customFormat="false" ht="15" hidden="false" customHeight="false" outlineLevel="0" collapsed="false">
      <c r="A12" s="5" t="n">
        <v>9</v>
      </c>
      <c r="B12" s="2" t="s">
        <v>191</v>
      </c>
      <c r="C12" s="5" t="n">
        <v>18</v>
      </c>
      <c r="D12" s="6" t="n">
        <v>29.4</v>
      </c>
      <c r="E12" s="7" t="n">
        <v>22275241</v>
      </c>
      <c r="F12" s="7" t="n">
        <v>20856182</v>
      </c>
      <c r="G12" s="7"/>
      <c r="H12" s="7"/>
    </row>
    <row r="13" customFormat="false" ht="15" hidden="false" customHeight="false" outlineLevel="0" collapsed="false">
      <c r="A13" s="5" t="n">
        <v>10</v>
      </c>
      <c r="B13" s="2" t="s">
        <v>126</v>
      </c>
      <c r="C13" s="5" t="n">
        <v>19</v>
      </c>
      <c r="D13" s="6" t="n">
        <v>28.5</v>
      </c>
      <c r="E13" s="7" t="n">
        <v>22217127</v>
      </c>
      <c r="F13" s="7" t="n">
        <v>20581052</v>
      </c>
      <c r="G13" s="7"/>
      <c r="H13" s="7" t="n">
        <v>403333</v>
      </c>
    </row>
    <row r="14" customFormat="false" ht="15" hidden="false" customHeight="false" outlineLevel="0" collapsed="false">
      <c r="A14" s="5" t="n">
        <v>11</v>
      </c>
      <c r="B14" s="2" t="s">
        <v>208</v>
      </c>
      <c r="C14" s="5" t="n">
        <v>19</v>
      </c>
      <c r="D14" s="6" t="n">
        <v>27.1</v>
      </c>
      <c r="E14" s="7" t="n">
        <v>22167338</v>
      </c>
      <c r="F14" s="7" t="n">
        <v>21093353</v>
      </c>
      <c r="G14" s="7"/>
      <c r="H14" s="7"/>
    </row>
    <row r="15" customFormat="false" ht="15" hidden="false" customHeight="false" outlineLevel="0" collapsed="false">
      <c r="A15" s="5" t="n">
        <v>12</v>
      </c>
      <c r="B15" s="2" t="s">
        <v>209</v>
      </c>
      <c r="C15" s="5" t="n">
        <v>20</v>
      </c>
      <c r="D15" s="6" t="n">
        <v>25.2</v>
      </c>
      <c r="E15" s="7" t="n">
        <v>20093308</v>
      </c>
      <c r="F15" s="7" t="n">
        <v>17463727</v>
      </c>
      <c r="G15" s="7"/>
      <c r="H15" s="7" t="n">
        <v>908250</v>
      </c>
    </row>
    <row r="16" customFormat="false" ht="15" hidden="false" customHeight="false" outlineLevel="0" collapsed="false">
      <c r="A16" s="5" t="n">
        <v>13</v>
      </c>
      <c r="B16" s="2" t="s">
        <v>38</v>
      </c>
      <c r="C16" s="5" t="n">
        <v>20</v>
      </c>
      <c r="D16" s="6" t="n">
        <v>27</v>
      </c>
      <c r="E16" s="7" t="n">
        <v>19860707</v>
      </c>
      <c r="F16" s="7" t="n">
        <v>18309000</v>
      </c>
      <c r="G16" s="7"/>
      <c r="H16" s="7" t="n">
        <v>752333</v>
      </c>
    </row>
    <row r="17" customFormat="false" ht="15" hidden="false" customHeight="false" outlineLevel="0" collapsed="false">
      <c r="A17" s="5" t="n">
        <v>14</v>
      </c>
      <c r="B17" s="2" t="s">
        <v>32</v>
      </c>
      <c r="C17" s="5" t="n">
        <v>19</v>
      </c>
      <c r="D17" s="6" t="n">
        <v>26.4</v>
      </c>
      <c r="E17" s="7" t="n">
        <v>19822855</v>
      </c>
      <c r="F17" s="7" t="n">
        <v>12249831</v>
      </c>
      <c r="G17" s="7"/>
      <c r="H17" s="7" t="n">
        <v>819519</v>
      </c>
    </row>
    <row r="18" customFormat="false" ht="15" hidden="false" customHeight="false" outlineLevel="0" collapsed="false">
      <c r="A18" s="5" t="n">
        <v>15</v>
      </c>
      <c r="B18" s="2" t="s">
        <v>210</v>
      </c>
      <c r="C18" s="5" t="n">
        <v>22</v>
      </c>
      <c r="D18" s="6" t="n">
        <v>28.8</v>
      </c>
      <c r="E18" s="7" t="n">
        <v>19643710</v>
      </c>
      <c r="F18" s="7" t="n">
        <v>18055870</v>
      </c>
      <c r="G18" s="7"/>
      <c r="H18" s="7" t="n">
        <v>335648</v>
      </c>
    </row>
    <row r="19" customFormat="false" ht="15" hidden="false" customHeight="false" outlineLevel="0" collapsed="false">
      <c r="A19" s="5" t="n">
        <v>16</v>
      </c>
      <c r="B19" s="2" t="s">
        <v>211</v>
      </c>
      <c r="C19" s="5" t="n">
        <v>19</v>
      </c>
      <c r="D19" s="6" t="n">
        <v>27.5</v>
      </c>
      <c r="E19" s="7" t="n">
        <v>19253474</v>
      </c>
      <c r="F19" s="7" t="n">
        <v>18205553</v>
      </c>
      <c r="G19" s="7"/>
      <c r="H19" s="7"/>
    </row>
    <row r="20" customFormat="false" ht="15" hidden="false" customHeight="false" outlineLevel="0" collapsed="false">
      <c r="A20" s="5" t="n">
        <v>17</v>
      </c>
      <c r="B20" s="2" t="s">
        <v>175</v>
      </c>
      <c r="C20" s="5" t="n">
        <v>18</v>
      </c>
      <c r="D20" s="6" t="n">
        <v>27.3</v>
      </c>
      <c r="E20" s="7" t="n">
        <v>19072625</v>
      </c>
      <c r="F20" s="7" t="n">
        <v>14475753</v>
      </c>
      <c r="G20" s="7"/>
      <c r="H20" s="7" t="n">
        <v>495000</v>
      </c>
    </row>
    <row r="21" customFormat="false" ht="15" hidden="false" customHeight="false" outlineLevel="0" collapsed="false">
      <c r="A21" s="5" t="n">
        <v>18</v>
      </c>
      <c r="B21" s="2" t="s">
        <v>65</v>
      </c>
      <c r="C21" s="5" t="n">
        <v>19</v>
      </c>
      <c r="D21" s="6" t="n">
        <v>29.1</v>
      </c>
      <c r="E21" s="7" t="n">
        <v>18259851</v>
      </c>
      <c r="F21" s="7" t="n">
        <v>17108538</v>
      </c>
      <c r="G21" s="7"/>
      <c r="H21" s="7"/>
    </row>
    <row r="22" customFormat="false" ht="15" hidden="false" customHeight="false" outlineLevel="0" collapsed="false">
      <c r="A22" s="5" t="n">
        <v>19</v>
      </c>
      <c r="B22" s="2" t="s">
        <v>141</v>
      </c>
      <c r="C22" s="5" t="n">
        <v>18</v>
      </c>
      <c r="D22" s="6" t="n">
        <v>25.9</v>
      </c>
      <c r="E22" s="7" t="n">
        <v>18238532</v>
      </c>
      <c r="F22" s="7" t="n">
        <v>13506826</v>
      </c>
      <c r="G22" s="7"/>
      <c r="H22" s="7" t="n">
        <v>2100000</v>
      </c>
    </row>
    <row r="23" customFormat="false" ht="15" hidden="false" customHeight="false" outlineLevel="0" collapsed="false">
      <c r="A23" s="5" t="n">
        <v>20</v>
      </c>
      <c r="B23" s="2" t="s">
        <v>212</v>
      </c>
      <c r="C23" s="5" t="n">
        <v>17</v>
      </c>
      <c r="D23" s="6" t="n">
        <v>26.9</v>
      </c>
      <c r="E23" s="7" t="n">
        <v>18138129</v>
      </c>
      <c r="F23" s="7" t="n">
        <v>16663860</v>
      </c>
      <c r="G23" s="7"/>
      <c r="H23" s="7" t="n">
        <v>530000</v>
      </c>
    </row>
    <row r="24" customFormat="false" ht="15" hidden="false" customHeight="false" outlineLevel="0" collapsed="false">
      <c r="A24" s="5" t="n">
        <v>21</v>
      </c>
      <c r="B24" s="2" t="s">
        <v>135</v>
      </c>
      <c r="C24" s="5" t="n">
        <v>23</v>
      </c>
      <c r="D24" s="6" t="n">
        <v>27.8</v>
      </c>
      <c r="E24" s="7" t="n">
        <v>17805816</v>
      </c>
      <c r="F24" s="7" t="n">
        <v>15853279</v>
      </c>
      <c r="G24" s="7"/>
      <c r="H24" s="7"/>
    </row>
    <row r="25" customFormat="false" ht="15" hidden="false" customHeight="false" outlineLevel="0" collapsed="false">
      <c r="A25" s="5" t="n">
        <v>22</v>
      </c>
      <c r="B25" s="2" t="s">
        <v>43</v>
      </c>
      <c r="C25" s="5" t="n">
        <v>23</v>
      </c>
      <c r="D25" s="6" t="n">
        <v>27.2</v>
      </c>
      <c r="E25" s="7" t="n">
        <v>17113231</v>
      </c>
      <c r="F25" s="7" t="n">
        <v>14537375</v>
      </c>
      <c r="G25" s="7"/>
      <c r="H25" s="7"/>
    </row>
    <row r="26" customFormat="false" ht="15" hidden="false" customHeight="false" outlineLevel="0" collapsed="false">
      <c r="A26" s="5" t="n">
        <v>23</v>
      </c>
      <c r="B26" s="2" t="s">
        <v>213</v>
      </c>
      <c r="C26" s="5" t="n">
        <v>19</v>
      </c>
      <c r="D26" s="6" t="n">
        <v>28.6</v>
      </c>
      <c r="E26" s="7" t="n">
        <v>16631937</v>
      </c>
      <c r="F26" s="7" t="n">
        <v>14993387</v>
      </c>
      <c r="G26" s="7"/>
      <c r="H26" s="7"/>
    </row>
    <row r="27" customFormat="false" ht="15" hidden="false" customHeight="false" outlineLevel="0" collapsed="false">
      <c r="A27" s="5" t="n">
        <v>24</v>
      </c>
      <c r="B27" s="2" t="s">
        <v>96</v>
      </c>
      <c r="C27" s="5" t="n">
        <v>19</v>
      </c>
      <c r="D27" s="6" t="n">
        <v>26.8</v>
      </c>
      <c r="E27" s="7" t="n">
        <v>16593211</v>
      </c>
      <c r="F27" s="7" t="n">
        <v>15124405</v>
      </c>
      <c r="G27" s="7"/>
      <c r="H27" s="7"/>
    </row>
    <row r="28" customFormat="false" ht="15" hidden="false" customHeight="false" outlineLevel="0" collapsed="false">
      <c r="A28" s="5" t="n">
        <v>25</v>
      </c>
      <c r="B28" s="2" t="s">
        <v>214</v>
      </c>
      <c r="C28" s="5" t="n">
        <v>22</v>
      </c>
      <c r="D28" s="6" t="n">
        <v>26.7</v>
      </c>
      <c r="E28" s="7" t="n">
        <v>16385762</v>
      </c>
      <c r="F28" s="7" t="n">
        <v>14174256</v>
      </c>
      <c r="G28" s="7"/>
      <c r="H28" s="7" t="n">
        <v>274883</v>
      </c>
    </row>
    <row r="29" customFormat="false" ht="15" hidden="false" customHeight="false" outlineLevel="0" collapsed="false">
      <c r="A29" s="5" t="n">
        <v>26</v>
      </c>
      <c r="B29" s="2" t="s">
        <v>215</v>
      </c>
      <c r="C29" s="5" t="n">
        <v>19</v>
      </c>
      <c r="D29" s="6" t="n">
        <v>28.8</v>
      </c>
      <c r="E29" s="7" t="n">
        <v>15679447</v>
      </c>
      <c r="F29" s="7" t="n">
        <v>14740603</v>
      </c>
      <c r="G29" s="7"/>
      <c r="H29" s="7"/>
    </row>
    <row r="30" customFormat="false" ht="15" hidden="false" customHeight="false" outlineLevel="0" collapsed="false">
      <c r="A30" s="5" t="n">
        <v>27</v>
      </c>
      <c r="B30" s="2" t="s">
        <v>25</v>
      </c>
      <c r="C30" s="5" t="n">
        <v>22</v>
      </c>
      <c r="D30" s="6" t="n">
        <v>27.2</v>
      </c>
      <c r="E30" s="7" t="n">
        <v>15612336</v>
      </c>
      <c r="F30" s="7" t="n">
        <v>13940611</v>
      </c>
      <c r="G30" s="7"/>
      <c r="H30" s="7"/>
    </row>
    <row r="31" customFormat="false" ht="15" hidden="false" customHeight="false" outlineLevel="0" collapsed="false">
      <c r="A31" s="5" t="n">
        <v>28</v>
      </c>
      <c r="B31" s="2" t="s">
        <v>216</v>
      </c>
      <c r="C31" s="5" t="n">
        <v>19</v>
      </c>
      <c r="D31" s="6" t="n">
        <v>27.3</v>
      </c>
      <c r="E31" s="7" t="n">
        <v>15023314</v>
      </c>
      <c r="F31" s="7" t="n">
        <v>13992435</v>
      </c>
      <c r="G31" s="7"/>
      <c r="H31" s="7"/>
    </row>
    <row r="32" customFormat="false" ht="15" hidden="false" customHeight="false" outlineLevel="0" collapsed="false">
      <c r="A32" s="5" t="n">
        <v>29</v>
      </c>
      <c r="B32" s="2" t="s">
        <v>165</v>
      </c>
      <c r="C32" s="5" t="n">
        <v>18</v>
      </c>
      <c r="D32" s="6" t="n">
        <v>24.1</v>
      </c>
      <c r="E32" s="7" t="n">
        <v>14916538</v>
      </c>
      <c r="F32" s="7" t="n">
        <v>12253420</v>
      </c>
      <c r="G32" s="7"/>
      <c r="H32" s="7" t="n">
        <v>860000</v>
      </c>
    </row>
    <row r="33" customFormat="false" ht="15" hidden="false" customHeight="false" outlineLevel="0" collapsed="false">
      <c r="A33" s="5" t="n">
        <v>30</v>
      </c>
      <c r="B33" s="2" t="s">
        <v>59</v>
      </c>
      <c r="C33" s="5" t="n">
        <v>20</v>
      </c>
      <c r="D33" s="6" t="n">
        <v>26.3</v>
      </c>
      <c r="E33" s="7" t="n">
        <v>13784122</v>
      </c>
      <c r="F33" s="7" t="n">
        <v>12244524</v>
      </c>
      <c r="G33" s="7"/>
      <c r="H33" s="7"/>
    </row>
    <row r="34" customFormat="false" ht="15" hidden="false" customHeight="false" outlineLevel="0" collapsed="false">
      <c r="A34" s="5" t="n">
        <v>31</v>
      </c>
      <c r="B34" s="2" t="s">
        <v>217</v>
      </c>
      <c r="C34" s="5" t="n">
        <v>0</v>
      </c>
      <c r="D34" s="6" t="n">
        <v>0</v>
      </c>
      <c r="E34" s="7" t="n">
        <v>4901829</v>
      </c>
      <c r="F34" s="7"/>
      <c r="G34" s="7"/>
      <c r="H34" s="7" t="n">
        <v>4901829</v>
      </c>
    </row>
    <row r="35" customFormat="false" ht="15" hidden="false" customHeight="false" outlineLevel="0" collapsed="false">
      <c r="A35" s="8" t="s">
        <v>69</v>
      </c>
      <c r="B35" s="9"/>
      <c r="C35" s="10" t="n">
        <f aca="false">SUM(C4:C34)</f>
        <v>592</v>
      </c>
      <c r="D35" s="9"/>
      <c r="E35" s="11" t="n">
        <f aca="false">SUM(E4:E34)</f>
        <v>650407334</v>
      </c>
      <c r="F35" s="11" t="n">
        <f aca="false">SUM(F4:F34)</f>
        <v>552763409</v>
      </c>
      <c r="G35" s="9"/>
      <c r="H35" s="11" t="n">
        <f aca="false">SUM(H4:H34)</f>
        <v>42540715</v>
      </c>
    </row>
    <row r="36" customFormat="false" ht="15" hidden="false" customHeight="false" outlineLevel="0" collapsed="false">
      <c r="A36" s="8" t="s">
        <v>70</v>
      </c>
      <c r="B36" s="9"/>
      <c r="C36" s="12" t="n">
        <f aca="false">AVERAGE(C4:C34)</f>
        <v>19.0967741935484</v>
      </c>
      <c r="D36" s="12" t="n">
        <f aca="false">AVERAGE(D4:D34)</f>
        <v>26.4838709677419</v>
      </c>
      <c r="E36" s="11" t="n">
        <f aca="false">SUM(E4:E34)/COUNTA(B4:B34)</f>
        <v>20980881.7419355</v>
      </c>
      <c r="F36" s="11" t="n">
        <f aca="false">SUM(F4:F34)/COUNTA(B4:B34)</f>
        <v>17831077.7096774</v>
      </c>
      <c r="G36" s="9"/>
      <c r="H36" s="11" t="n">
        <f aca="false">SUM(H4:H34)/COUNTA(B4:B34)</f>
        <v>1372281.12903226</v>
      </c>
    </row>
    <row r="37" customFormat="false" ht="15" hidden="false" customHeight="false" outlineLevel="0" collapsed="false">
      <c r="A37" s="13" t="s">
        <v>218</v>
      </c>
      <c r="C37" s="16" t="n">
        <v>19.1</v>
      </c>
      <c r="D37" s="16" t="n">
        <v>26.5</v>
      </c>
      <c r="E37" s="15" t="n">
        <v>20980882</v>
      </c>
      <c r="F37" s="15" t="n">
        <v>17831078</v>
      </c>
      <c r="H37" s="15" t="n">
        <v>1372281</v>
      </c>
    </row>
    <row r="38" customFormat="false" ht="15" hidden="false" customHeight="false" outlineLevel="0" collapsed="false">
      <c r="A38" s="13" t="s">
        <v>219</v>
      </c>
      <c r="C38" s="16" t="n">
        <f aca="false">C36-C37</f>
        <v>-0.00322580645161352</v>
      </c>
      <c r="D38" s="16" t="n">
        <f aca="false">D36-D37</f>
        <v>-0.0161290322580641</v>
      </c>
      <c r="E38" s="15" t="n">
        <f aca="false">E36-E37</f>
        <v>-0.258064515888691</v>
      </c>
      <c r="F38" s="15" t="n">
        <f aca="false">F36-F37</f>
        <v>-0.290322579443455</v>
      </c>
      <c r="H38" s="15" t="n">
        <f aca="false">H36-H37</f>
        <v>0.129032258177176</v>
      </c>
    </row>
    <row r="40" customFormat="false" ht="15" hidden="false" customHeight="false" outlineLevel="0" collapsed="false">
      <c r="A40" s="13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8" min="6" style="0" width="16"/>
  </cols>
  <sheetData>
    <row r="1" customFormat="false" ht="16.15" hidden="false" customHeight="false" outlineLevel="0" collapsed="false">
      <c r="A1" s="3" t="s">
        <v>221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customFormat="false" ht="15" hidden="false" customHeight="false" outlineLevel="0" collapsed="false">
      <c r="A4" s="5" t="n">
        <v>1</v>
      </c>
      <c r="B4" s="2" t="s">
        <v>65</v>
      </c>
      <c r="C4" s="2" t="s">
        <v>222</v>
      </c>
      <c r="D4" s="5" t="n">
        <v>12</v>
      </c>
      <c r="E4" s="6" t="n">
        <v>28.3</v>
      </c>
      <c r="F4" s="7" t="n">
        <v>1464680</v>
      </c>
      <c r="G4" s="7" t="n">
        <v>0</v>
      </c>
      <c r="H4" s="7" t="n">
        <v>1609905</v>
      </c>
    </row>
    <row r="5" customFormat="false" ht="15" hidden="false" customHeight="false" outlineLevel="0" collapsed="false">
      <c r="A5" s="5" t="n">
        <v>2</v>
      </c>
      <c r="B5" s="2" t="s">
        <v>32</v>
      </c>
      <c r="C5" s="2"/>
      <c r="D5" s="5" t="n">
        <v>14</v>
      </c>
      <c r="E5" s="6" t="n">
        <v>24.6</v>
      </c>
      <c r="F5" s="7" t="n">
        <v>1125782</v>
      </c>
      <c r="G5" s="7" t="n">
        <v>392288</v>
      </c>
      <c r="H5" s="7" t="n">
        <v>1598069</v>
      </c>
    </row>
    <row r="6" customFormat="false" ht="15" hidden="false" customHeight="false" outlineLevel="0" collapsed="false">
      <c r="A6" s="5" t="n">
        <v>3</v>
      </c>
      <c r="B6" s="2" t="s">
        <v>60</v>
      </c>
      <c r="C6" s="2" t="s">
        <v>222</v>
      </c>
      <c r="D6" s="5" t="n">
        <v>12</v>
      </c>
      <c r="E6" s="6" t="n">
        <v>27</v>
      </c>
      <c r="F6" s="7" t="n">
        <v>1498709</v>
      </c>
      <c r="G6" s="7" t="n">
        <v>7774</v>
      </c>
      <c r="H6" s="7" t="n">
        <v>1572562</v>
      </c>
    </row>
    <row r="7" customFormat="false" ht="15" hidden="false" customHeight="false" outlineLevel="0" collapsed="false">
      <c r="A7" s="5" t="n">
        <v>4</v>
      </c>
      <c r="B7" s="2" t="s">
        <v>61</v>
      </c>
      <c r="C7" s="2" t="s">
        <v>223</v>
      </c>
      <c r="D7" s="5" t="n">
        <v>11</v>
      </c>
      <c r="E7" s="6" t="n">
        <v>28.1</v>
      </c>
      <c r="F7" s="7" t="n">
        <v>1428691</v>
      </c>
      <c r="G7" s="7" t="n">
        <v>102055</v>
      </c>
      <c r="H7" s="7" t="n">
        <v>1530746</v>
      </c>
    </row>
    <row r="8" customFormat="false" ht="15" hidden="false" customHeight="false" outlineLevel="0" collapsed="false">
      <c r="A8" s="5" t="n">
        <v>5</v>
      </c>
      <c r="B8" s="2" t="s">
        <v>25</v>
      </c>
      <c r="C8" s="2"/>
      <c r="D8" s="5" t="n">
        <v>12</v>
      </c>
      <c r="E8" s="6" t="n">
        <v>26.8</v>
      </c>
      <c r="F8" s="7" t="n">
        <v>1438629</v>
      </c>
      <c r="G8" s="7" t="n">
        <v>69420</v>
      </c>
      <c r="H8" s="7" t="n">
        <v>1508049</v>
      </c>
    </row>
    <row r="9" customFormat="false" ht="15" hidden="false" customHeight="false" outlineLevel="0" collapsed="false">
      <c r="A9" s="5" t="n">
        <v>6</v>
      </c>
      <c r="B9" s="2" t="s">
        <v>97</v>
      </c>
      <c r="C9" s="2" t="s">
        <v>222</v>
      </c>
      <c r="D9" s="5" t="n">
        <v>12</v>
      </c>
      <c r="E9" s="6" t="n">
        <v>29.3</v>
      </c>
      <c r="F9" s="7" t="n">
        <v>1402693</v>
      </c>
      <c r="G9" s="7" t="n">
        <v>103927</v>
      </c>
      <c r="H9" s="7" t="n">
        <v>1506620</v>
      </c>
    </row>
    <row r="10" customFormat="false" ht="15" hidden="false" customHeight="false" outlineLevel="0" collapsed="false">
      <c r="A10" s="5" t="n">
        <v>7</v>
      </c>
      <c r="B10" s="2" t="s">
        <v>224</v>
      </c>
      <c r="C10" s="2" t="s">
        <v>222</v>
      </c>
      <c r="D10" s="5" t="n">
        <v>12</v>
      </c>
      <c r="E10" s="6" t="n">
        <v>29.6</v>
      </c>
      <c r="F10" s="7" t="n">
        <v>1402678</v>
      </c>
      <c r="G10" s="7" t="n">
        <v>102257</v>
      </c>
      <c r="H10" s="7" t="n">
        <v>1504935</v>
      </c>
    </row>
    <row r="11" customFormat="false" ht="15" hidden="false" customHeight="false" outlineLevel="0" collapsed="false">
      <c r="A11" s="5" t="n">
        <v>8</v>
      </c>
      <c r="B11" s="2" t="s">
        <v>48</v>
      </c>
      <c r="C11" s="2"/>
      <c r="D11" s="5" t="n">
        <v>16</v>
      </c>
      <c r="E11" s="6" t="n">
        <v>28.3</v>
      </c>
      <c r="F11" s="7" t="n">
        <v>1271683</v>
      </c>
      <c r="G11" s="7" t="n">
        <v>219447</v>
      </c>
      <c r="H11" s="7" t="n">
        <v>1491130</v>
      </c>
    </row>
    <row r="12" customFormat="false" ht="15" hidden="false" customHeight="false" outlineLevel="0" collapsed="false">
      <c r="A12" s="5" t="n">
        <v>9</v>
      </c>
      <c r="B12" s="2" t="s">
        <v>208</v>
      </c>
      <c r="C12" s="2"/>
      <c r="D12" s="5" t="n">
        <v>12</v>
      </c>
      <c r="E12" s="6" t="n">
        <v>27.2</v>
      </c>
      <c r="F12" s="7" t="n">
        <v>1312314</v>
      </c>
      <c r="G12" s="7" t="n">
        <v>174720</v>
      </c>
      <c r="H12" s="7" t="n">
        <v>1487034</v>
      </c>
    </row>
    <row r="13" customFormat="false" ht="15" hidden="false" customHeight="false" outlineLevel="0" collapsed="false">
      <c r="A13" s="5" t="n">
        <v>10</v>
      </c>
      <c r="B13" s="2" t="s">
        <v>41</v>
      </c>
      <c r="C13" s="2"/>
      <c r="D13" s="5" t="n">
        <v>12</v>
      </c>
      <c r="E13" s="6" t="n">
        <v>27.6</v>
      </c>
      <c r="F13" s="7" t="n">
        <v>1330240</v>
      </c>
      <c r="G13" s="7" t="n">
        <v>149387</v>
      </c>
      <c r="H13" s="7" t="n">
        <v>1479627</v>
      </c>
    </row>
    <row r="14" customFormat="false" ht="15" hidden="false" customHeight="false" outlineLevel="0" collapsed="false">
      <c r="A14" s="5" t="n">
        <v>11</v>
      </c>
      <c r="B14" s="2" t="s">
        <v>225</v>
      </c>
      <c r="C14" s="2"/>
      <c r="D14" s="5" t="n">
        <v>12</v>
      </c>
      <c r="E14" s="6" t="n">
        <v>26.6</v>
      </c>
      <c r="F14" s="7" t="n">
        <v>1040513</v>
      </c>
      <c r="G14" s="7" t="n">
        <v>252240</v>
      </c>
      <c r="H14" s="7" t="n">
        <v>1292753</v>
      </c>
    </row>
    <row r="15" customFormat="false" ht="15" hidden="false" customHeight="false" outlineLevel="0" collapsed="false">
      <c r="A15" s="5" t="n">
        <v>12</v>
      </c>
      <c r="B15" s="2" t="s">
        <v>226</v>
      </c>
      <c r="C15" s="2" t="s">
        <v>222</v>
      </c>
      <c r="D15" s="5" t="n">
        <v>13</v>
      </c>
      <c r="E15" s="6" t="n">
        <v>26.7</v>
      </c>
      <c r="F15" s="7" t="n">
        <v>1091805</v>
      </c>
      <c r="G15" s="7" t="n">
        <v>195813</v>
      </c>
      <c r="H15" s="7" t="n">
        <v>1287618</v>
      </c>
    </row>
    <row r="16" customFormat="false" ht="15" hidden="false" customHeight="false" outlineLevel="0" collapsed="false">
      <c r="A16" s="5" t="n">
        <v>13</v>
      </c>
      <c r="B16" s="2" t="s">
        <v>53</v>
      </c>
      <c r="C16" s="2"/>
      <c r="D16" s="5" t="n">
        <v>12</v>
      </c>
      <c r="E16" s="6" t="n">
        <v>25.2</v>
      </c>
      <c r="F16" s="7" t="n">
        <v>1091432</v>
      </c>
      <c r="G16" s="7" t="n">
        <v>144450</v>
      </c>
      <c r="H16" s="7" t="n">
        <v>1235882</v>
      </c>
    </row>
    <row r="17" customFormat="false" ht="15" hidden="false" customHeight="false" outlineLevel="0" collapsed="false">
      <c r="A17" s="8" t="s">
        <v>69</v>
      </c>
      <c r="B17" s="9"/>
      <c r="C17" s="9"/>
      <c r="D17" s="10" t="n">
        <f aca="false">SUM(D4:D16)</f>
        <v>162</v>
      </c>
      <c r="E17" s="9"/>
      <c r="F17" s="11" t="n">
        <f aca="false">SUM(F4:F16)</f>
        <v>16899849</v>
      </c>
      <c r="G17" s="11" t="n">
        <f aca="false">SUM(G4:G16)</f>
        <v>1913778</v>
      </c>
      <c r="H17" s="11" t="n">
        <f aca="false">SUM(H4:H16)</f>
        <v>19104930</v>
      </c>
    </row>
    <row r="18" customFormat="false" ht="15" hidden="false" customHeight="false" outlineLevel="0" collapsed="false">
      <c r="A18" s="8" t="s">
        <v>70</v>
      </c>
      <c r="B18" s="9"/>
      <c r="C18" s="9"/>
      <c r="D18" s="12" t="n">
        <f aca="false">AVERAGE(D4:D16)</f>
        <v>12.4615384615385</v>
      </c>
      <c r="E18" s="12" t="n">
        <f aca="false">AVERAGE(E4:E16)</f>
        <v>27.3307692307692</v>
      </c>
      <c r="F18" s="11" t="n">
        <f aca="false">AVERAGE(F4:F16)</f>
        <v>1299988.38461538</v>
      </c>
      <c r="G18" s="11" t="n">
        <f aca="false">AVERAGE(G4:G16)</f>
        <v>147213.692307692</v>
      </c>
      <c r="H18" s="11" t="n">
        <f aca="false">AVERAGE(H4:H16)</f>
        <v>1469610</v>
      </c>
    </row>
    <row r="19" customFormat="false" ht="15" hidden="false" customHeight="false" outlineLevel="0" collapsed="false">
      <c r="A19" s="13" t="s">
        <v>71</v>
      </c>
      <c r="D19" s="14" t="n">
        <v>162</v>
      </c>
      <c r="F19" s="15" t="n">
        <v>16899849</v>
      </c>
      <c r="G19" s="15" t="n">
        <v>1913778</v>
      </c>
      <c r="H19" s="15" t="n">
        <v>19104930</v>
      </c>
    </row>
    <row r="20" customFormat="false" ht="15" hidden="false" customHeight="false" outlineLevel="0" collapsed="false">
      <c r="A20" s="13" t="s">
        <v>72</v>
      </c>
      <c r="D20" s="14" t="n">
        <f aca="false">D17-D19</f>
        <v>0</v>
      </c>
      <c r="F20" s="15" t="n">
        <f aca="false">F17-F19</f>
        <v>0</v>
      </c>
      <c r="G20" s="15" t="n">
        <f aca="false">G17-G19</f>
        <v>0</v>
      </c>
      <c r="H20" s="15" t="n">
        <f aca="false">H17-H19</f>
        <v>0</v>
      </c>
    </row>
    <row r="22" customFormat="false" ht="15" hidden="false" customHeight="false" outlineLevel="0" collapsed="false">
      <c r="A22" s="13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2026-10-21T15:03:19Z</dcterms:created>
  <dc:creator>openpyxl</dc:creator>
  <dc:description/>
  <dc:language>en-US</dc:language>
  <cp:lastModifiedBy/>
  <dcterms:modified xsi:type="dcterms:W3CDTF">2026-10-21T15:03:19Z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